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C-LS-KAYKY\Desktop\PESTA3002 - SR-RCSAJ4\"/>
    </mc:Choice>
  </mc:AlternateContent>
  <xr:revisionPtr revIDLastSave="0" documentId="13_ncr:1_{7D5BE24E-9C26-42BB-87F7-61CC9027A6C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ayout" sheetId="1" r:id="rId1"/>
    <sheet name="Quantitativos" sheetId="2" r:id="rId2"/>
    <sheet name="Resumo PV" sheetId="3" r:id="rId3"/>
    <sheet name="check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3" l="1"/>
  <c r="B3" i="3"/>
  <c r="B2" i="3"/>
  <c r="E7" i="1"/>
  <c r="F7" i="1" s="1"/>
  <c r="C5" i="4"/>
  <c r="C4" i="4"/>
  <c r="C3" i="4"/>
  <c r="F12" i="1"/>
  <c r="F10" i="1"/>
  <c r="F9" i="1"/>
  <c r="F8" i="1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C8" i="2"/>
  <c r="B17" i="3" l="1"/>
  <c r="B18" i="3"/>
  <c r="B7" i="3"/>
  <c r="B8" i="3"/>
  <c r="B9" i="3"/>
  <c r="B10" i="3"/>
  <c r="B16" i="3"/>
  <c r="B14" i="3"/>
  <c r="B19" i="3"/>
  <c r="B15" i="3"/>
  <c r="B12" i="3"/>
  <c r="B13" i="3"/>
  <c r="B11" i="3"/>
  <c r="B20" i="3" l="1"/>
</calcChain>
</file>

<file path=xl/sharedStrings.xml><?xml version="1.0" encoding="utf-8"?>
<sst xmlns="http://schemas.openxmlformats.org/spreadsheetml/2006/main" count="1121" uniqueCount="598">
  <si>
    <t>Data</t>
  </si>
  <si>
    <t>ID Highline</t>
  </si>
  <si>
    <t>Região</t>
  </si>
  <si>
    <t>Norte</t>
  </si>
  <si>
    <t>PM / Coordenador</t>
  </si>
  <si>
    <t xml:space="preserve">Katharine Quinta </t>
  </si>
  <si>
    <t>Cliente</t>
  </si>
  <si>
    <t>Tim</t>
  </si>
  <si>
    <t>Tipo de Site</t>
  </si>
  <si>
    <t>Collo - BTS</t>
  </si>
  <si>
    <t>Quantitativos - PV</t>
  </si>
  <si>
    <t>Fornecedor:</t>
  </si>
  <si>
    <t xml:space="preserve">LS OFFICE </t>
  </si>
  <si>
    <t>ID Highline:</t>
  </si>
  <si>
    <t>Estado</t>
  </si>
  <si>
    <t>PA</t>
  </si>
  <si>
    <t>Atividade</t>
  </si>
  <si>
    <t>Item</t>
  </si>
  <si>
    <t>Descrição</t>
  </si>
  <si>
    <t>Unid. Medida</t>
  </si>
  <si>
    <t>Quant</t>
  </si>
  <si>
    <t>Valor Unit</t>
  </si>
  <si>
    <t>Valor Total</t>
  </si>
  <si>
    <t>Serviços de Engenharia</t>
  </si>
  <si>
    <t>SEN01</t>
  </si>
  <si>
    <t>Projeto Executivo</t>
  </si>
  <si>
    <t>Vb</t>
  </si>
  <si>
    <t>SEN02</t>
  </si>
  <si>
    <t>As Built</t>
  </si>
  <si>
    <t>SEN03</t>
  </si>
  <si>
    <t>Revisão de Projeto de Prefeitura (Compartilhamento ou ampliação)</t>
  </si>
  <si>
    <t>SEN04</t>
  </si>
  <si>
    <t>Revisão de Projeto Executivo (Compartilhamento ou ampliação)</t>
  </si>
  <si>
    <t>SEN05</t>
  </si>
  <si>
    <t>Revisão de As Built (Compartilhamento ou ampliação)</t>
  </si>
  <si>
    <t>SEN06</t>
  </si>
  <si>
    <t>Sondagem à percussão</t>
  </si>
  <si>
    <t>SEN07</t>
  </si>
  <si>
    <t>Sondagem Rotativa</t>
  </si>
  <si>
    <t>SEN08</t>
  </si>
  <si>
    <t>Laudo Estrutural para Roof Top</t>
  </si>
  <si>
    <t>SEN09</t>
  </si>
  <si>
    <t>Projeto de Prefeitura</t>
  </si>
  <si>
    <t>SEN10</t>
  </si>
  <si>
    <t>Planialtimétrico</t>
  </si>
  <si>
    <t>SEN11</t>
  </si>
  <si>
    <t>Laudo Estrutural (RT) - Sem Vistoria</t>
  </si>
  <si>
    <t>SEN12</t>
  </si>
  <si>
    <t>Laudo Estrutural (RT) - Com Vistoria</t>
  </si>
  <si>
    <t>Fundação / Comum</t>
  </si>
  <si>
    <t>FUNC01</t>
  </si>
  <si>
    <t xml:space="preserve">Escavação Radier </t>
  </si>
  <si>
    <t>m³</t>
  </si>
  <si>
    <t>FUNC02</t>
  </si>
  <si>
    <t>Escavação Tubulão</t>
  </si>
  <si>
    <t>FUNC03</t>
  </si>
  <si>
    <t>Concreto preparado e lançado(fck. conf.projeto)  - Até 20m³</t>
  </si>
  <si>
    <t>FUNC04</t>
  </si>
  <si>
    <t>Concreto preparado e lançado(fck. conf.projeto)  - 20m³ a 50m³</t>
  </si>
  <si>
    <t>FUNC05</t>
  </si>
  <si>
    <t>Concreto preparado e lançado(fck. conf.projeto)  - 50m³ a 80m³</t>
  </si>
  <si>
    <t>FUNC06</t>
  </si>
  <si>
    <t>Concreto preparado e lançado(fck. conf.projeto)  - 80m³ a 100m³</t>
  </si>
  <si>
    <t>FUNC07</t>
  </si>
  <si>
    <t>Concreto preparado e lançado(fck. conf.projeto)  - Acima de 100m³</t>
  </si>
  <si>
    <t>FUNC08</t>
  </si>
  <si>
    <t>Reaterro e compactação</t>
  </si>
  <si>
    <t>FUNC09</t>
  </si>
  <si>
    <t>Bota-fora</t>
  </si>
  <si>
    <t>FUNC10</t>
  </si>
  <si>
    <t xml:space="preserve">Forma em tábua de madeira comum </t>
  </si>
  <si>
    <t>m²</t>
  </si>
  <si>
    <t>FUNC11</t>
  </si>
  <si>
    <t>Aço de fundação (CA 50 / CA 60) para tubulão ou radier</t>
  </si>
  <si>
    <t>Kg</t>
  </si>
  <si>
    <t>FUNC12</t>
  </si>
  <si>
    <t>Lastro de brita nº 2</t>
  </si>
  <si>
    <t>FUNC13</t>
  </si>
  <si>
    <t>Concreto magro p/regularização (não estrutural)</t>
  </si>
  <si>
    <t>FUNC14</t>
  </si>
  <si>
    <t>Concreto ciclópico</t>
  </si>
  <si>
    <t>FUNC15</t>
  </si>
  <si>
    <t>Limpeza e Bota Fora da Estaca Raiz</t>
  </si>
  <si>
    <t>FUNC16</t>
  </si>
  <si>
    <t>Encamisamento de Tubulão com manilha de concreto, incluso içamento com munck se necessário</t>
  </si>
  <si>
    <t>m</t>
  </si>
  <si>
    <t>Fundação / Estaca Raiz</t>
  </si>
  <si>
    <t>FRZ01</t>
  </si>
  <si>
    <t>Mobilização perfuratriz - estaca raiz</t>
  </si>
  <si>
    <t>un</t>
  </si>
  <si>
    <t>FRZ02</t>
  </si>
  <si>
    <t xml:space="preserve">Perfuração + argamassa para estaca raiz (Solo Comum) </t>
  </si>
  <si>
    <t>FRZ03</t>
  </si>
  <si>
    <t>Perfuração + argamassa para estaca raiz (Rochoso)</t>
  </si>
  <si>
    <t>FRZ04</t>
  </si>
  <si>
    <t>Arame Recozido</t>
  </si>
  <si>
    <t>kg</t>
  </si>
  <si>
    <t>FRZ05</t>
  </si>
  <si>
    <t>Gerador de Energia</t>
  </si>
  <si>
    <t>FRZ06</t>
  </si>
  <si>
    <t>Água para estaca-raiz (modalidade fornecimento material)</t>
  </si>
  <si>
    <t>FRZ07</t>
  </si>
  <si>
    <t>Aço de fundação (CA 50 / CA 60) para estacas-raiz, blocos de coroamento e viga de ligação</t>
  </si>
  <si>
    <t>FRZ08</t>
  </si>
  <si>
    <t>Solda nas Ferragens</t>
  </si>
  <si>
    <t>Fechamento</t>
  </si>
  <si>
    <t>FEC01</t>
  </si>
  <si>
    <t>Tapume h=225cm apoiado no terreno e pintura latex face externa (Quando solicitado pela HL)</t>
  </si>
  <si>
    <t>FEC02</t>
  </si>
  <si>
    <t>Fechamento - Alambrado c/ Arame farpado</t>
  </si>
  <si>
    <t>FEC03</t>
  </si>
  <si>
    <t>Fechamento - Muro c/ Concertina</t>
  </si>
  <si>
    <t>FEC04</t>
  </si>
  <si>
    <t>Fechamento - Cerca Paraguaia</t>
  </si>
  <si>
    <t>FEC05</t>
  </si>
  <si>
    <t>Instalação de concertina sobre alambrado (Quando solicitado pela HL)</t>
  </si>
  <si>
    <t>FEC06</t>
  </si>
  <si>
    <t>1/2 Folha Portão - Alambrado</t>
  </si>
  <si>
    <t>FEC07</t>
  </si>
  <si>
    <t>1/2 Folha Portão - Chapa</t>
  </si>
  <si>
    <t>FEC08</t>
  </si>
  <si>
    <t>Portão - Alambrado</t>
  </si>
  <si>
    <t>FEC09</t>
  </si>
  <si>
    <t>Portão - Chapa</t>
  </si>
  <si>
    <t>FEC10</t>
  </si>
  <si>
    <t>Portão para pedestre - Alambrado</t>
  </si>
  <si>
    <t>FEC12</t>
  </si>
  <si>
    <t>Cadeado MULT-LOCK com corrente</t>
  </si>
  <si>
    <t>FEC13</t>
  </si>
  <si>
    <t>Cadeado com segredo com corrente</t>
  </si>
  <si>
    <t>Área Construída</t>
  </si>
  <si>
    <t>CON01</t>
  </si>
  <si>
    <t>Execução de passeio com guia e Sarjeta</t>
  </si>
  <si>
    <t>CON02</t>
  </si>
  <si>
    <t>Lona preta 200 micras</t>
  </si>
  <si>
    <t>CON03</t>
  </si>
  <si>
    <t xml:space="preserve">Pedra Brita Nº 2  </t>
  </si>
  <si>
    <t>CON04</t>
  </si>
  <si>
    <t>Caixa de passagem para instalações elétricas</t>
  </si>
  <si>
    <t>CON06</t>
  </si>
  <si>
    <t>Base de equipamento em concreto armado</t>
  </si>
  <si>
    <t>CON07</t>
  </si>
  <si>
    <t>Skid metálico (galvanizado à fogo)</t>
  </si>
  <si>
    <t>CON08</t>
  </si>
  <si>
    <t>Adequação/Alvenaria - Em muro existente</t>
  </si>
  <si>
    <t>CON09</t>
  </si>
  <si>
    <t>Chapisco de muro - Em muro existente</t>
  </si>
  <si>
    <t>CON10</t>
  </si>
  <si>
    <t>Demolição de muro existente</t>
  </si>
  <si>
    <t>CON11</t>
  </si>
  <si>
    <t xml:space="preserve">Muro de arrimo </t>
  </si>
  <si>
    <t>CON12</t>
  </si>
  <si>
    <t>Execução de Muro em Alvenaria</t>
  </si>
  <si>
    <t>CON13</t>
  </si>
  <si>
    <t xml:space="preserve">Conector FCI Barra - Para esteira </t>
  </si>
  <si>
    <t>Energia / Entrada de Energia</t>
  </si>
  <si>
    <t>ENT01</t>
  </si>
  <si>
    <t>QD/ QTM - Com Alvenaria (Padrão Claro)</t>
  </si>
  <si>
    <t>ENT02</t>
  </si>
  <si>
    <t xml:space="preserve">QD/ QTM - Com Alvenaria (Padrão Vivo) </t>
  </si>
  <si>
    <t>ENT03</t>
  </si>
  <si>
    <t>QD/ QTM - Com Alvenaria (Padrão Tim)</t>
  </si>
  <si>
    <t xml:space="preserve">Suporte para QD/ QTM </t>
  </si>
  <si>
    <t>Grade para medidor</t>
  </si>
  <si>
    <t>ENT04</t>
  </si>
  <si>
    <t>Tomada Steck</t>
  </si>
  <si>
    <t>ENT05</t>
  </si>
  <si>
    <t>Padrão novo para 1 medidor - Com ligação definitiva</t>
  </si>
  <si>
    <t>ENT06</t>
  </si>
  <si>
    <t>Padrão novo para 2 medidores - Com ligação definitiva</t>
  </si>
  <si>
    <t>ENT07</t>
  </si>
  <si>
    <t>ENT08</t>
  </si>
  <si>
    <t xml:space="preserve">Ampliação do padrão de 2 para 3 medidores - Com ligação definitiva </t>
  </si>
  <si>
    <t>ENT09</t>
  </si>
  <si>
    <t xml:space="preserve">Ampliação do padrão de 3 para 4 medidores - Com ligação definitiva </t>
  </si>
  <si>
    <t>ENT10</t>
  </si>
  <si>
    <t>ENT11</t>
  </si>
  <si>
    <t>Projeto de ampliação do padrão - Memorial, carta de aprovação e ART</t>
  </si>
  <si>
    <t>ENT12</t>
  </si>
  <si>
    <t>Cabo Cobre Isolado EPR-06/1KV # 4mm²</t>
  </si>
  <si>
    <t>ENT13</t>
  </si>
  <si>
    <t>Eletroduto Corrugado Tipo KANAFLEX Ø 1"</t>
  </si>
  <si>
    <t>ENT14</t>
  </si>
  <si>
    <t>Eletroduto Corrugado Tipo KANAFLEX Ø 2"</t>
  </si>
  <si>
    <t>Energia / Infra - Site</t>
  </si>
  <si>
    <t>INFR01</t>
  </si>
  <si>
    <t>Malha de aterramento</t>
  </si>
  <si>
    <t>INFR02</t>
  </si>
  <si>
    <t>Seal Tube 1''</t>
  </si>
  <si>
    <t>INFR03</t>
  </si>
  <si>
    <t>Seal Tube 2''</t>
  </si>
  <si>
    <t>INFR04</t>
  </si>
  <si>
    <t>Tubulação 1" Galvanizada à fogo</t>
  </si>
  <si>
    <t>INFR05</t>
  </si>
  <si>
    <t>Tubulação 2" Galvanizada à fogo</t>
  </si>
  <si>
    <t>INFR06</t>
  </si>
  <si>
    <t>Tubulação 3" Galvanizada à fogo</t>
  </si>
  <si>
    <t>INFR07</t>
  </si>
  <si>
    <t>Tubulação 1" PVC</t>
  </si>
  <si>
    <t>Tubulação 2" PVC</t>
  </si>
  <si>
    <t>INFR09</t>
  </si>
  <si>
    <t>Cabo Multiplex Alum - 4 vias 35mm</t>
  </si>
  <si>
    <t>INFR10</t>
  </si>
  <si>
    <t>Cabo flexível #10mm² isol. 750V - qualquer cor</t>
  </si>
  <si>
    <t>Cabo flexível #25mm² isol. 750V - qualquer cor</t>
  </si>
  <si>
    <t>Cabo flexível #35mm² isol. 750V - qualquer cor</t>
  </si>
  <si>
    <t>Cabo flexível #50mm² isol. 750V - qualquer cor</t>
  </si>
  <si>
    <t xml:space="preserve">Cabo flexível #10mm² isol.  0,6/1,0Kv </t>
  </si>
  <si>
    <t>INFR15</t>
  </si>
  <si>
    <t xml:space="preserve">Cabo flexível #16mm² isol.  0,6/1,0Kv </t>
  </si>
  <si>
    <t>INFR16</t>
  </si>
  <si>
    <t>Poste de iluminação Telecônico Curvo Simples Flangeado com luminária inclusa</t>
  </si>
  <si>
    <t>Itens complementares</t>
  </si>
  <si>
    <t>COM01</t>
  </si>
  <si>
    <t>Caixa de alumínio</t>
  </si>
  <si>
    <t>COM02</t>
  </si>
  <si>
    <t>Acessórios metálicos (mastro, costela de vaca, esteira horizontal e suportes de antena adicionais)</t>
  </si>
  <si>
    <t>COM03</t>
  </si>
  <si>
    <t>Segunda Mobilização (acima de 500Km da sede da companhia)</t>
  </si>
  <si>
    <t>COM04</t>
  </si>
  <si>
    <t>Supressão de Vegetação existente (Limpeza de mato rasteiro, entulho e objetos existentes no site)</t>
  </si>
  <si>
    <t>COM05</t>
  </si>
  <si>
    <t>Caçamba</t>
  </si>
  <si>
    <t>COM06</t>
  </si>
  <si>
    <t>Retirada de Arvore de Pequeno Porte - Até 2,4m (Sem incluir licenciamento)</t>
  </si>
  <si>
    <t>COM07</t>
  </si>
  <si>
    <t>Retirada de Arvore de Grande Porte - Acima de 2,4m (Sem incluir licenciamento)</t>
  </si>
  <si>
    <t>COM08</t>
  </si>
  <si>
    <t>Sistema de Drenagem (Ao redor do site, por metro linear)</t>
  </si>
  <si>
    <t>COM09</t>
  </si>
  <si>
    <t>Grama</t>
  </si>
  <si>
    <t>COM10</t>
  </si>
  <si>
    <t>Logistica de Obra (Transporte dos materiais de obra)</t>
  </si>
  <si>
    <t>COM11</t>
  </si>
  <si>
    <t>Escada de Acesso de até 1,5m de largura</t>
  </si>
  <si>
    <t>COM12</t>
  </si>
  <si>
    <t>Corte, Regularização e Nivelamento do Talude</t>
  </si>
  <si>
    <t>Acessórios EV</t>
  </si>
  <si>
    <t>AEV01</t>
  </si>
  <si>
    <t>Suporte MW Canto Adicional 0,6</t>
  </si>
  <si>
    <t>AEV02</t>
  </si>
  <si>
    <t>Suporte MW Canto Adicional 0,9</t>
  </si>
  <si>
    <t>AEV03</t>
  </si>
  <si>
    <t>Suporte MW Canto Adicional 1,2</t>
  </si>
  <si>
    <t>AEV04</t>
  </si>
  <si>
    <t>Suporte MW Face Adicional 0,6</t>
  </si>
  <si>
    <t>AEV05</t>
  </si>
  <si>
    <t>Suporte MW Face Adicional 0,9</t>
  </si>
  <si>
    <t>AEV06</t>
  </si>
  <si>
    <t>Suporte MW Face Adicional 1,2</t>
  </si>
  <si>
    <t>AEV07</t>
  </si>
  <si>
    <t>Suporte de RF</t>
  </si>
  <si>
    <t>AEV08</t>
  </si>
  <si>
    <t>Esteiramento Encapsulado</t>
  </si>
  <si>
    <t>AEV09</t>
  </si>
  <si>
    <t>Esteiramento Aéreo</t>
  </si>
  <si>
    <t>AEV10</t>
  </si>
  <si>
    <t>Esteiramento Aéreo Encapsulado</t>
  </si>
  <si>
    <t xml:space="preserve">Extensão de Rede </t>
  </si>
  <si>
    <t>EXT01</t>
  </si>
  <si>
    <t>Estrutura de derivação - Compacta Bifásica</t>
  </si>
  <si>
    <t>Unid</t>
  </si>
  <si>
    <t>EXT02</t>
  </si>
  <si>
    <t>Estrutura de derivação - Compacta Monofásica</t>
  </si>
  <si>
    <t>EXT03</t>
  </si>
  <si>
    <t>Estrutura de derivação -Compacta Trifásica</t>
  </si>
  <si>
    <t>EXT04</t>
  </si>
  <si>
    <t>Estrutura de derivação - Convencional Bifásica</t>
  </si>
  <si>
    <t>EXT05</t>
  </si>
  <si>
    <t>Estrutura de derivação - Convencional Monofásica</t>
  </si>
  <si>
    <t>EXT06</t>
  </si>
  <si>
    <t>Estrutura de derivação - Convencional Trifásica</t>
  </si>
  <si>
    <t>EXT07</t>
  </si>
  <si>
    <t>Subestação  - 15 kV - transformador monofásico - 10 kVA</t>
  </si>
  <si>
    <t>EXT08</t>
  </si>
  <si>
    <t>Subestação  - 15 kV - transformador bifásico - 10 kVA</t>
  </si>
  <si>
    <t>EXT09</t>
  </si>
  <si>
    <t>Subestação - 15 kV - transformador trifásico - 15 kVA</t>
  </si>
  <si>
    <t>EXT10</t>
  </si>
  <si>
    <t>Subestação - 15 kV - transformador trifásico - 30 kVA</t>
  </si>
  <si>
    <t>EXT11</t>
  </si>
  <si>
    <t>Subestação - 15 kV - transformador trifásico - 45 kVA</t>
  </si>
  <si>
    <t>EXT12</t>
  </si>
  <si>
    <t>Subestação - 15 kV - transformador trifásico - 75 kVA</t>
  </si>
  <si>
    <t>EXT13</t>
  </si>
  <si>
    <t>Subestação  - 25 kV - transformador monofásico - 10 kVA</t>
  </si>
  <si>
    <t>EXT14</t>
  </si>
  <si>
    <t>Subestação - 25 kV - transformador bifásico - 10 kVA</t>
  </si>
  <si>
    <t>EXT15</t>
  </si>
  <si>
    <t>Subestação - 25 kV - transformador trifásico - 15 kVA</t>
  </si>
  <si>
    <t>EXT16</t>
  </si>
  <si>
    <t>Subestação - 25 kV - transformador trifásico - 30 kVA</t>
  </si>
  <si>
    <t>EXT17</t>
  </si>
  <si>
    <t>Subestação - 25 kV - transformador trifásico - 45 kVA</t>
  </si>
  <si>
    <t>EXT18</t>
  </si>
  <si>
    <t>Subestação - 25 kV - transformador trifásico - 75 kVA</t>
  </si>
  <si>
    <t>EXT19</t>
  </si>
  <si>
    <t>Extensão de Rede Aérea  - Baixa tensão - Compacta  Monofásica</t>
  </si>
  <si>
    <t>EXT20</t>
  </si>
  <si>
    <t>Extensão de Rede Aérea  - Baixa tensão - Compacta Bifásica</t>
  </si>
  <si>
    <t>EXT21</t>
  </si>
  <si>
    <t>Extensão de Rede Aérea  - Baixa tensão - Compacta  Trifásica</t>
  </si>
  <si>
    <t>EXT22</t>
  </si>
  <si>
    <t>Extensão de Rede Aérea  - Baixa tensão - Convencional  Monofásica</t>
  </si>
  <si>
    <t>EXT23</t>
  </si>
  <si>
    <t>Extensão de Rede Aérea  - Baixa tensão - Convencional  Bifásica</t>
  </si>
  <si>
    <t>EXT24</t>
  </si>
  <si>
    <t>Extensão de Rede Aérea  - Baixa tensão - Convencional  Trifásica</t>
  </si>
  <si>
    <t>EXT25</t>
  </si>
  <si>
    <t>Extensão de Rede Aérea  - Alta tensão (15 kV)Compacta - Monofásica</t>
  </si>
  <si>
    <t>EXT26</t>
  </si>
  <si>
    <t>Extensão de Rede Aérea - Alta tensão  (15 kV)Compacta - Bifásica</t>
  </si>
  <si>
    <t>EXT27</t>
  </si>
  <si>
    <t>Extensão de Rede Aérea - Alta tensão  (15 kV)Compacta - Trifásica</t>
  </si>
  <si>
    <t>EXT28</t>
  </si>
  <si>
    <t>Extensão de Rede Aérea  - Alta tensão (15 kV)  Convencional  - Monofásica</t>
  </si>
  <si>
    <t>EXT29</t>
  </si>
  <si>
    <t>Extensão de Rede Aérea  - Alta tensão (15 kV)Convencional - Bifásica</t>
  </si>
  <si>
    <t>EXT30</t>
  </si>
  <si>
    <t>Extensão de Rede Aérea - Alta tensão  (15 kV)Convencional - Trifásica</t>
  </si>
  <si>
    <t>EXT31</t>
  </si>
  <si>
    <t>Extensão de Rede Aérea  - Alta tensão (25 kV)Compacta - Monofásica</t>
  </si>
  <si>
    <t>EXT32</t>
  </si>
  <si>
    <t>Extensão de Rede Aérea - Alta tensão  (25 kV)Compacta - Bifásica</t>
  </si>
  <si>
    <t>EXT33</t>
  </si>
  <si>
    <t>Extensão de Rede Aérea  - Alta tensão  (25 kV)Compacta - Trifásica</t>
  </si>
  <si>
    <t>EXT34</t>
  </si>
  <si>
    <t>Extensão de Rede Aérea  - Alta tensão (25 kV)  Convencional  - Monofásica</t>
  </si>
  <si>
    <t>EXT35</t>
  </si>
  <si>
    <t>Extensão de Rede Aérea  - Alta tensão (25 kV)Convencional - Bifásica</t>
  </si>
  <si>
    <t>EXT36</t>
  </si>
  <si>
    <t>Extensão de Rede Aérea  - Alta tensão  (25 kV)Convencional - Trifásica</t>
  </si>
  <si>
    <t>Acesso</t>
  </si>
  <si>
    <t>ACS01</t>
  </si>
  <si>
    <t>Via de acesso simples (Raspagem Superficial)</t>
  </si>
  <si>
    <t>ACS02</t>
  </si>
  <si>
    <t>Via de acesso Completa (Raspagem, canaletas, curvas de nivel, caixas secas, sistema de drenagem)</t>
  </si>
  <si>
    <t>Montagem</t>
  </si>
  <si>
    <t>MON01</t>
  </si>
  <si>
    <t>Montagem de Torre Autoportante 30m</t>
  </si>
  <si>
    <t>MON02</t>
  </si>
  <si>
    <t>Montagem de Torre Autoportante 40m</t>
  </si>
  <si>
    <t>MON03</t>
  </si>
  <si>
    <t>Montagem de Torre Autoportante 50m</t>
  </si>
  <si>
    <t>MON04</t>
  </si>
  <si>
    <t>Montagem de Torre Autoportante 60m</t>
  </si>
  <si>
    <t>MON05</t>
  </si>
  <si>
    <t>Montagem de Torre Autoportante 70m</t>
  </si>
  <si>
    <t>MON06</t>
  </si>
  <si>
    <t>Montagem de Torre Autoportante 80m</t>
  </si>
  <si>
    <t>MON07</t>
  </si>
  <si>
    <t>Montagem de Poste Autoportante 30m</t>
  </si>
  <si>
    <t>MON08</t>
  </si>
  <si>
    <t>Montagem de Poste Autoportante 40m</t>
  </si>
  <si>
    <t>MON09</t>
  </si>
  <si>
    <t>Montagem de Poste Autoportante 50m</t>
  </si>
  <si>
    <t>MON10</t>
  </si>
  <si>
    <t>Montagem de Poste Autoportante 60m</t>
  </si>
  <si>
    <t>MON11</t>
  </si>
  <si>
    <t>Pintura de Torre Autoportante 30m</t>
  </si>
  <si>
    <t>MON12</t>
  </si>
  <si>
    <t>Pintura de Torre Autoportante 40m</t>
  </si>
  <si>
    <t>MON13</t>
  </si>
  <si>
    <t>Pintura de Torre Autoportante 50m</t>
  </si>
  <si>
    <t>MON14</t>
  </si>
  <si>
    <t>Pintura de Torre Autoportante 60m</t>
  </si>
  <si>
    <t>MON15</t>
  </si>
  <si>
    <t>Pintura de Torre Autoportante 70m</t>
  </si>
  <si>
    <t>MON16</t>
  </si>
  <si>
    <t>Pintura de Torre Autoportante 80m</t>
  </si>
  <si>
    <t>MON17</t>
  </si>
  <si>
    <t>Pintura de Poste Autoportante 30m</t>
  </si>
  <si>
    <t>MON18</t>
  </si>
  <si>
    <t>Pintura de Poste Autoportante 40m</t>
  </si>
  <si>
    <t>MON19</t>
  </si>
  <si>
    <t>Pintura de Poste Autoportante 50m</t>
  </si>
  <si>
    <t>MON20</t>
  </si>
  <si>
    <t>Pintura de Poste Autoportante 60m</t>
  </si>
  <si>
    <t>Transporte EV e Acessórios</t>
  </si>
  <si>
    <t>TRA94</t>
  </si>
  <si>
    <t>Descarga Mecanizada - Munk</t>
  </si>
  <si>
    <t>TRA95</t>
  </si>
  <si>
    <t>Picape Leve (Saveiro, Strada, Montana)</t>
  </si>
  <si>
    <t>Km</t>
  </si>
  <si>
    <t>TRA96</t>
  </si>
  <si>
    <t xml:space="preserve">Transporte Veiculo Urbano de Carga - Ducato, Iveco daily, HR, Kia Bongo (Transporte de Chumbadores e pequenas cargas) até 1,5t </t>
  </si>
  <si>
    <t>TRA97</t>
  </si>
  <si>
    <t>Truck até 14t</t>
  </si>
  <si>
    <t>TRA98</t>
  </si>
  <si>
    <t>Carreta até 25t</t>
  </si>
  <si>
    <t>TRA99</t>
  </si>
  <si>
    <t>Carreta até 32t</t>
  </si>
  <si>
    <t>Reforço</t>
  </si>
  <si>
    <t>REF01</t>
  </si>
  <si>
    <t>REFORÇO ESTRUTURAL EM CANTONEIRAS ATÉ 200KG</t>
  </si>
  <si>
    <t>REF02</t>
  </si>
  <si>
    <t>REFORÇO ESTRUTURAL EM CANTONEIRAS DE 200 ATÉ 500KG</t>
  </si>
  <si>
    <t>REF03</t>
  </si>
  <si>
    <t>REFORÇO ESTRUTURAL EM CANTONEIRAS DE 500 ATÉ 1000KG</t>
  </si>
  <si>
    <t>REF04</t>
  </si>
  <si>
    <t>REFORÇO ESTRUTURAL EM CANTONEIRAS ACIMA DE 1000KG</t>
  </si>
  <si>
    <t>REF05</t>
  </si>
  <si>
    <t>REFORÇO ESTRUTURAL EM BARRA MACIÇA ATÉ 200KG</t>
  </si>
  <si>
    <t>REF06</t>
  </si>
  <si>
    <t>REFORÇO ESTRUTURAL EM BARRA MACIÇA DE 200 ATÉ 500KG</t>
  </si>
  <si>
    <t>REF07</t>
  </si>
  <si>
    <t>REFORÇO ESTRUTURAL EM BARRA MACIÇA DE 500 ATÉ 1000KG</t>
  </si>
  <si>
    <t>REF08</t>
  </si>
  <si>
    <t>REFORÇO ESTRUTURAL EM BARRA MACIÇA ACIMA DE 1000KG</t>
  </si>
  <si>
    <t>REF09</t>
  </si>
  <si>
    <t>PERFIL DOBRADO ATÉ 200KG</t>
  </si>
  <si>
    <t>REF10</t>
  </si>
  <si>
    <t>PERFIL DOBRADO DE 200 ATÉ 500KG</t>
  </si>
  <si>
    <t>REF11</t>
  </si>
  <si>
    <t>PERFIL DOBRADO DE 500 ATÉ 1000KG</t>
  </si>
  <si>
    <t>REF12</t>
  </si>
  <si>
    <t>PERFIL DOBRADO ACIMA DE 1000KG</t>
  </si>
  <si>
    <t>REF13</t>
  </si>
  <si>
    <t>CLIPES E CHAPAS</t>
  </si>
  <si>
    <t>REF14</t>
  </si>
  <si>
    <t>FORNECIMENTO E APLICAÇÃO DE CODBOLT ATÉ 5/8"</t>
  </si>
  <si>
    <t>Unid.</t>
  </si>
  <si>
    <t>REF15</t>
  </si>
  <si>
    <t>FORNECIMENTO E APLICAÇÃO DE CODBOLT  DE 3/4" OU ACIMA</t>
  </si>
  <si>
    <t>REF16</t>
  </si>
  <si>
    <t xml:space="preserve">FUROS EM ESTRUTURA </t>
  </si>
  <si>
    <t>REF17</t>
  </si>
  <si>
    <t>MONTAGEM DE REFORÇO ESTRUTURAS</t>
  </si>
  <si>
    <t>REF18</t>
  </si>
  <si>
    <t>DESMONTAGEM DE ESTRUTURA E OU REFORÇO EXISTENTE</t>
  </si>
  <si>
    <t>REF19</t>
  </si>
  <si>
    <t>SUBSTITUIÇÃO DE PARAFUSOS</t>
  </si>
  <si>
    <t>REF20</t>
  </si>
  <si>
    <t>PINTURA</t>
  </si>
  <si>
    <t>REF21</t>
  </si>
  <si>
    <t>MOBILIZAÇÃO DE EQUIPE DE MONTAGEM</t>
  </si>
  <si>
    <t>REF22</t>
  </si>
  <si>
    <t>REAPERTO GERAL EV</t>
  </si>
  <si>
    <t>REF23</t>
  </si>
  <si>
    <t>REPAROS NA ESTRUTURA/TRATAMENTO OXIDAÇÃO</t>
  </si>
  <si>
    <t>REF24</t>
  </si>
  <si>
    <t>FORNECIMENTO CHUMBADORES</t>
  </si>
  <si>
    <t>REF25</t>
  </si>
  <si>
    <t>VISTORIA PARA DETALHAMENTO/PROJETO DE FABRICAÇÃO</t>
  </si>
  <si>
    <t>REF26</t>
  </si>
  <si>
    <t>REMANEJAMENTO BTS</t>
  </si>
  <si>
    <t>REF27</t>
  </si>
  <si>
    <t>REMANEJAMENTO DE ESTEIRAMENTO</t>
  </si>
  <si>
    <t>REF28</t>
  </si>
  <si>
    <t>REMANEJAMENTO RF</t>
  </si>
  <si>
    <t>Pç</t>
  </si>
  <si>
    <t>REF29</t>
  </si>
  <si>
    <t>REMANEJAMENTO MW</t>
  </si>
  <si>
    <t>REF30</t>
  </si>
  <si>
    <t>SUPORTE DE ANTENAS RF</t>
  </si>
  <si>
    <t>REF31</t>
  </si>
  <si>
    <t>SUPORTE  DE ANTENAS MW</t>
  </si>
  <si>
    <t>REF32</t>
  </si>
  <si>
    <t>CONCRETO 20 MPA LANÇADO - EXCLUSA TAXA DE BOMBEAMENTO</t>
  </si>
  <si>
    <t>REF33</t>
  </si>
  <si>
    <t>CONCRETO 25 MPA LANÇADO - EXCLUSA TAXA DE BOMBEAMENTO</t>
  </si>
  <si>
    <t>REF34</t>
  </si>
  <si>
    <t>CONCRETO 20 MPA RODADO EM OBRA - COM ACOMPANHAMENTO TECNICO</t>
  </si>
  <si>
    <t>REF35</t>
  </si>
  <si>
    <t>CONCRETO 25 MPA RODADO EM OBRA - COM ACOMPANHAMENTO TECNICO</t>
  </si>
  <si>
    <t>REF36</t>
  </si>
  <si>
    <t>TAXA DE BOMBEAMENTO POR REGIAO</t>
  </si>
  <si>
    <t>REF37</t>
  </si>
  <si>
    <t>FORMAS</t>
  </si>
  <si>
    <t>REF38</t>
  </si>
  <si>
    <t xml:space="preserve">ESCAVAÇÃO </t>
  </si>
  <si>
    <t>REF39</t>
  </si>
  <si>
    <t>BOTA FORA</t>
  </si>
  <si>
    <t>REF40</t>
  </si>
  <si>
    <t>REATERRO</t>
  </si>
  <si>
    <t>REF41</t>
  </si>
  <si>
    <t>FURAÇÃO E APLICAÇÃO DE RESINA EPOXI EM BASES DE CONCRETO</t>
  </si>
  <si>
    <t>REF42</t>
  </si>
  <si>
    <t>EXECUÇÃO DE FUNDAÇÃO RADIER (MÃO DE OBRA)</t>
  </si>
  <si>
    <t>REF43</t>
  </si>
  <si>
    <t>EXECUÇÃO DE ESTACA RAIZ EM SOLO</t>
  </si>
  <si>
    <t>REF44</t>
  </si>
  <si>
    <t>EXECUÇÃO DE ESTACA RAIZ EM ROCHA</t>
  </si>
  <si>
    <t>REF45</t>
  </si>
  <si>
    <t>COMPRESSOR ESTACA RAIZ (PARA EXECUÇÃO DE ESTACAS EM ROCHA)</t>
  </si>
  <si>
    <t>REF46</t>
  </si>
  <si>
    <t>MOBILIZAÇÃO PARA EQUIPAMENTOS DE ESTACA RAIZ</t>
  </si>
  <si>
    <t>REF47</t>
  </si>
  <si>
    <t>AGUA PARA EXECUÇÃO DE ESTACAS ( SOMENTE SE NÃO INCLUSO NO ITEM MACRO PELO FORNECEDOR)</t>
  </si>
  <si>
    <t>REF48</t>
  </si>
  <si>
    <t>MOBILIZAÇÃO DE EQUIPE DE FUNDAÇÃO</t>
  </si>
  <si>
    <t>REF49</t>
  </si>
  <si>
    <t>FRETE DE MATERIAIS ATÉ A OBRA</t>
  </si>
  <si>
    <t>REF50</t>
  </si>
  <si>
    <t>LEVANTAMENTO PLANIALTIMÉTRICO</t>
  </si>
  <si>
    <t>REF51</t>
  </si>
  <si>
    <t>SONDAGEM ATÉ 2 FUROS</t>
  </si>
  <si>
    <t>REF52</t>
  </si>
  <si>
    <t>FORNECIMENTO E INSTALAÇÃO DE PARAFUSOS 3/4"</t>
  </si>
  <si>
    <t>REF53</t>
  </si>
  <si>
    <t>EXECUÇÃO DE FUROS EM BLOCO DE CONCRETO PARA FIXAÇÃO DOS CHUMBADORES</t>
  </si>
  <si>
    <t>REF54</t>
  </si>
  <si>
    <t>MANUTENÇÃO CORRETIVA</t>
  </si>
  <si>
    <t>REF55</t>
  </si>
  <si>
    <t xml:space="preserve">FORNECIMENTO E INSTALAÇÃO DE PARA RAIOS CONFORME PROJETO </t>
  </si>
  <si>
    <t>REF56</t>
  </si>
  <si>
    <t>FORNECIMENTO E INSTALAÇÃO DE PLATAFORMA</t>
  </si>
  <si>
    <t>REF57</t>
  </si>
  <si>
    <t xml:space="preserve">FORNECIMENTO DE BALIZAMENTO SOLAR </t>
  </si>
  <si>
    <t>REF58</t>
  </si>
  <si>
    <t>JANELA DE MANUTENÇÃO 2 OPERADORA  ( REMANEJAMENTO DE CABOS E  ANTENAS)</t>
  </si>
  <si>
    <t>REF59</t>
  </si>
  <si>
    <t xml:space="preserve">REMANEJAMENTO DE ANTENA MW EM JANELA DE MANUTENÇÃO COM ALINHAMENTO </t>
  </si>
  <si>
    <t>REF60</t>
  </si>
  <si>
    <t xml:space="preserve">TRATAMENTO DE PEÇAS OXIDADAS CONFORME INFORMADO EM PROJETO </t>
  </si>
  <si>
    <t>REF61</t>
  </si>
  <si>
    <t xml:space="preserve">FORNECIMENTO E INSTALAÇÃO DE SUPORTES DUPLO PADRÃO TIM </t>
  </si>
  <si>
    <t>REF62</t>
  </si>
  <si>
    <t xml:space="preserve">ALINHAR ESTRUTURA VERTICAL </t>
  </si>
  <si>
    <t>Roof Top</t>
  </si>
  <si>
    <t>RFT01</t>
  </si>
  <si>
    <t>Demolição de telhado existente</t>
  </si>
  <si>
    <t>RFT02</t>
  </si>
  <si>
    <t>Recomposição de telhado</t>
  </si>
  <si>
    <t>RFT03</t>
  </si>
  <si>
    <t>Adicional Metálico / Reforço Metálico para Rooftop (PROJETO NÃO INCLUSO)</t>
  </si>
  <si>
    <t>RFT04</t>
  </si>
  <si>
    <t>RFT05</t>
  </si>
  <si>
    <t>Conector FCI Torre</t>
  </si>
  <si>
    <t>RFT06</t>
  </si>
  <si>
    <t xml:space="preserve">Luminária </t>
  </si>
  <si>
    <t>RFT07</t>
  </si>
  <si>
    <t>Luminária com poste</t>
  </si>
  <si>
    <t>RFT08</t>
  </si>
  <si>
    <t>Acessórios metálicos (mastro, costela de vaca, esteira horizontal, suportes de antena adicionais, escada marinheiro e guarda-corpo)</t>
  </si>
  <si>
    <t>RFT09</t>
  </si>
  <si>
    <t>Bloco de concreto</t>
  </si>
  <si>
    <t>RFT10</t>
  </si>
  <si>
    <t>RFT11</t>
  </si>
  <si>
    <t>RFT12</t>
  </si>
  <si>
    <t>RFT13</t>
  </si>
  <si>
    <t>RFT14</t>
  </si>
  <si>
    <t>RFT15</t>
  </si>
  <si>
    <t>Balizamento noturno LED - Com fotocélula</t>
  </si>
  <si>
    <t>RFT16</t>
  </si>
  <si>
    <t>RFT17</t>
  </si>
  <si>
    <t>RFT18</t>
  </si>
  <si>
    <t>RFT19</t>
  </si>
  <si>
    <t>RFT20</t>
  </si>
  <si>
    <t>RFT21</t>
  </si>
  <si>
    <t>RFT22</t>
  </si>
  <si>
    <t>RFT23</t>
  </si>
  <si>
    <t>RFT24</t>
  </si>
  <si>
    <t>Impermeabilização (área total da laje / cobertura)</t>
  </si>
  <si>
    <t>RFT25</t>
  </si>
  <si>
    <t>Malha de aterramento Roof Top</t>
  </si>
  <si>
    <t>RFT26</t>
  </si>
  <si>
    <t>OBSERVAÇÕES</t>
  </si>
  <si>
    <t>Obs. Nº</t>
  </si>
  <si>
    <t>Descrição da Atividade</t>
  </si>
  <si>
    <t>Observação:</t>
  </si>
  <si>
    <t>SITE ID HIGHLINE</t>
  </si>
  <si>
    <t>UF</t>
  </si>
  <si>
    <t>REGIÃO</t>
  </si>
  <si>
    <t>R$</t>
  </si>
  <si>
    <t>Fundação</t>
  </si>
  <si>
    <t>Energia</t>
  </si>
  <si>
    <t>Extensão de Rede</t>
  </si>
  <si>
    <t>Transporte</t>
  </si>
  <si>
    <t>TOTAL R$</t>
  </si>
  <si>
    <t>Atividades:</t>
  </si>
  <si>
    <t>Sul</t>
  </si>
  <si>
    <t>BTS</t>
  </si>
  <si>
    <t>Concreto</t>
  </si>
  <si>
    <t>Sudeste</t>
  </si>
  <si>
    <t>Escavação</t>
  </si>
  <si>
    <t>Bota fora</t>
  </si>
  <si>
    <t>Nordeste</t>
  </si>
  <si>
    <t>Collo RT</t>
  </si>
  <si>
    <t>Centro-Oeste</t>
  </si>
  <si>
    <t>Algar</t>
  </si>
  <si>
    <t>Andre Mosquetti</t>
  </si>
  <si>
    <t>Claro</t>
  </si>
  <si>
    <t>Gleyce Caldeira</t>
  </si>
  <si>
    <t>Nextel</t>
  </si>
  <si>
    <t>Oi</t>
  </si>
  <si>
    <t xml:space="preserve">Vinicius Barbieri </t>
  </si>
  <si>
    <t>Gesiel Melo</t>
  </si>
  <si>
    <t>Veloso</t>
  </si>
  <si>
    <t>Keisson Araujo</t>
  </si>
  <si>
    <t>Vivo</t>
  </si>
  <si>
    <t>WND</t>
  </si>
  <si>
    <t>PESTA3002</t>
  </si>
  <si>
    <t>Vinicius Barbieri</t>
  </si>
  <si>
    <t>TIM</t>
  </si>
  <si>
    <t>Rooftop</t>
  </si>
  <si>
    <t>Ampliação do padrão de 1 para 2 medidores - Com ligação definitiva</t>
  </si>
  <si>
    <t xml:space="preserve">Ampliação do padrão de 4 para 5 medidores - Com ligação definitiva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</si>
</sst>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\-??_);_(@_)"/>
    <numFmt numFmtId="165" formatCode="_(\$* #,##0.00_);_(\$* \(#,##0.00\);_(\$* \-??_);_(@_)"/>
    <numFmt numFmtId="166" formatCode="m/d/yyyy"/>
    <numFmt numFmtId="167" formatCode="&quot;R$ &quot;#,##0.00"/>
    <numFmt numFmtId="168" formatCode="_-&quot;R$ &quot;* #,##0.00_-;&quot;-R$ &quot;* #,##0.00_-;_-&quot;R$ &quot;* \-??_-;_-@_-"/>
    <numFmt numFmtId="169" formatCode="_-* #,##0.00_-;\-* #,##0.00_-;_-* \-??_-;_-@_-"/>
    <numFmt numFmtId="170" formatCode="0.0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20"/>
      <color theme="0"/>
      <name val="Calibri"/>
      <family val="2"/>
      <charset val="1"/>
    </font>
    <font>
      <b/>
      <sz val="2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6"/>
      <color theme="0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8"/>
      <color theme="0"/>
      <name val="Calibri"/>
      <family val="2"/>
      <charset val="1"/>
    </font>
    <font>
      <sz val="18"/>
      <color theme="1"/>
      <name val="Calibri"/>
      <family val="2"/>
      <charset val="1"/>
    </font>
    <font>
      <sz val="12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rgb="FF666699"/>
      </patternFill>
    </fill>
    <fill>
      <patternFill patternType="solid">
        <fgColor theme="0"/>
        <bgColor rgb="FFFFFFCC"/>
      </patternFill>
    </fill>
    <fill>
      <patternFill patternType="solid">
        <fgColor theme="3" tint="-0.499984740745262"/>
        <bgColor rgb="FF333300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2" tint="-9.9978637043366805E-2"/>
        <bgColor rgb="FFCCCCFF"/>
      </patternFill>
    </fill>
  </fills>
  <borders count="1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9">
    <xf numFmtId="0" fontId="0" fillId="0" borderId="0"/>
    <xf numFmtId="164" fontId="17" fillId="0" borderId="0"/>
    <xf numFmtId="165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5" fontId="17" fillId="0" borderId="0"/>
    <xf numFmtId="165" fontId="17" fillId="0" borderId="0"/>
    <xf numFmtId="0" fontId="1" fillId="0" borderId="0"/>
    <xf numFmtId="0" fontId="17" fillId="0" borderId="0"/>
    <xf numFmtId="0" fontId="1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  <xf numFmtId="164" fontId="17" fillId="0" borderId="0"/>
  </cellStyleXfs>
  <cellXfs count="65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4" fillId="2" borderId="1" xfId="0" applyFont="1" applyFill="1" applyBorder="1" applyProtection="1">
      <protection hidden="1"/>
    </xf>
    <xf numFmtId="0" fontId="4" fillId="2" borderId="2" xfId="0" applyFont="1" applyFill="1" applyBorder="1" applyProtection="1">
      <protection hidden="1"/>
    </xf>
    <xf numFmtId="0" fontId="7" fillId="0" borderId="0" xfId="0" applyFont="1" applyProtection="1"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4" fillId="2" borderId="6" xfId="0" applyFont="1" applyFill="1" applyBorder="1" applyProtection="1">
      <protection hidden="1"/>
    </xf>
    <xf numFmtId="0" fontId="5" fillId="2" borderId="7" xfId="0" applyFont="1" applyFill="1" applyBorder="1" applyAlignment="1" applyProtection="1">
      <alignment horizontal="right"/>
      <protection hidden="1"/>
    </xf>
    <xf numFmtId="166" fontId="8" fillId="2" borderId="7" xfId="0" applyNumberFormat="1" applyFont="1" applyFill="1" applyBorder="1" applyAlignment="1" applyProtection="1">
      <alignment horizontal="center"/>
      <protection locked="0" hidden="1"/>
    </xf>
    <xf numFmtId="0" fontId="9" fillId="3" borderId="0" xfId="0" applyFont="1" applyFill="1" applyProtection="1">
      <protection hidden="1"/>
    </xf>
    <xf numFmtId="0" fontId="5" fillId="2" borderId="8" xfId="0" applyFont="1" applyFill="1" applyBorder="1" applyAlignment="1" applyProtection="1">
      <alignment horizontal="right"/>
      <protection hidden="1"/>
    </xf>
    <xf numFmtId="0" fontId="8" fillId="2" borderId="8" xfId="0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 hidden="1"/>
    </xf>
    <xf numFmtId="0" fontId="4" fillId="3" borderId="0" xfId="0" applyFont="1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167" fontId="11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10" fillId="3" borderId="0" xfId="0" applyFont="1" applyFill="1" applyAlignment="1" applyProtection="1">
      <alignment horizont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/>
      <protection locked="0"/>
    </xf>
    <xf numFmtId="168" fontId="17" fillId="0" borderId="10" xfId="2" applyNumberFormat="1" applyBorder="1" applyAlignment="1" applyProtection="1">
      <alignment horizontal="center" vertical="center" wrapText="1"/>
      <protection hidden="1"/>
    </xf>
    <xf numFmtId="168" fontId="2" fillId="0" borderId="10" xfId="2" applyNumberFormat="1" applyFont="1" applyBorder="1" applyAlignment="1" applyProtection="1">
      <alignment horizontal="center" vertical="center" wrapText="1"/>
      <protection hidden="1"/>
    </xf>
    <xf numFmtId="0" fontId="0" fillId="3" borderId="0" xfId="0" applyFill="1"/>
    <xf numFmtId="167" fontId="11" fillId="4" borderId="9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/>
    <xf numFmtId="0" fontId="13" fillId="4" borderId="12" xfId="0" applyFont="1" applyFill="1" applyBorder="1" applyAlignment="1" applyProtection="1">
      <alignment horizontal="center" vertical="center" wrapText="1"/>
      <protection hidden="1"/>
    </xf>
    <xf numFmtId="0" fontId="14" fillId="6" borderId="12" xfId="0" applyFont="1" applyFill="1" applyBorder="1" applyAlignment="1" applyProtection="1">
      <alignment horizontal="center" vertical="center" wrapText="1"/>
      <protection hidden="1"/>
    </xf>
    <xf numFmtId="0" fontId="13" fillId="4" borderId="13" xfId="0" applyFont="1" applyFill="1" applyBorder="1" applyAlignment="1" applyProtection="1">
      <alignment horizontal="center" vertical="center" wrapText="1"/>
      <protection hidden="1"/>
    </xf>
    <xf numFmtId="0" fontId="13" fillId="4" borderId="0" xfId="0" applyFont="1" applyFill="1" applyAlignment="1" applyProtection="1">
      <alignment horizontal="center" vertical="center" wrapText="1"/>
      <protection hidden="1"/>
    </xf>
    <xf numFmtId="167" fontId="13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14" xfId="0" applyFont="1" applyFill="1" applyBorder="1" applyAlignment="1" applyProtection="1">
      <alignment horizontal="center" vertical="center" wrapText="1"/>
      <protection hidden="1"/>
    </xf>
    <xf numFmtId="169" fontId="14" fillId="6" borderId="15" xfId="1" applyNumberFormat="1" applyFont="1" applyFill="1" applyBorder="1" applyAlignment="1" applyProtection="1">
      <alignment horizontal="center" vertical="center" wrapText="1"/>
      <protection hidden="1"/>
    </xf>
    <xf numFmtId="0" fontId="15" fillId="3" borderId="0" xfId="0" applyFont="1" applyFill="1" applyAlignment="1" applyProtection="1">
      <alignment vertical="center" wrapText="1"/>
      <protection hidden="1"/>
    </xf>
    <xf numFmtId="169" fontId="13" fillId="4" borderId="0" xfId="1" applyNumberFormat="1" applyFont="1" applyFill="1" applyAlignment="1" applyProtection="1">
      <alignment horizontal="center" vertical="center" wrapText="1"/>
      <protection hidden="1"/>
    </xf>
    <xf numFmtId="0" fontId="2" fillId="0" borderId="0" xfId="0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5" borderId="10" xfId="0" applyFill="1" applyBorder="1" applyAlignment="1" applyProtection="1">
      <alignment horizontal="center" vertical="center"/>
      <protection locked="0"/>
    </xf>
    <xf numFmtId="0" fontId="0" fillId="3" borderId="10" xfId="0" applyFill="1" applyBorder="1" applyAlignment="1">
      <alignment vertical="center"/>
    </xf>
    <xf numFmtId="167" fontId="11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11" fillId="4" borderId="10" xfId="0" applyFont="1" applyFill="1" applyBorder="1" applyAlignment="1" applyProtection="1">
      <alignment horizontal="center" vertical="center" wrapText="1"/>
      <protection hidden="1"/>
    </xf>
    <xf numFmtId="170" fontId="10" fillId="0" borderId="10" xfId="0" applyNumberFormat="1" applyFont="1" applyBorder="1" applyAlignment="1" applyProtection="1">
      <alignment horizontal="center"/>
      <protection locked="0"/>
    </xf>
    <xf numFmtId="168" fontId="10" fillId="0" borderId="10" xfId="2" applyNumberFormat="1" applyFont="1" applyBorder="1" applyProtection="1">
      <protection hidden="1"/>
    </xf>
    <xf numFmtId="14" fontId="8" fillId="2" borderId="7" xfId="0" applyNumberFormat="1" applyFont="1" applyFill="1" applyBorder="1" applyAlignment="1" applyProtection="1">
      <alignment horizontal="center"/>
      <protection locked="0" hidden="1"/>
    </xf>
    <xf numFmtId="168" fontId="19" fillId="0" borderId="10" xfId="2" applyNumberFormat="1" applyFont="1" applyBorder="1" applyProtection="1">
      <protection hidden="1"/>
    </xf>
    <xf numFmtId="168" fontId="19" fillId="0" borderId="10" xfId="2" applyNumberFormat="1" applyFont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2" fillId="5" borderId="10" xfId="0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center" vertical="center"/>
      <protection hidden="1"/>
    </xf>
    <xf numFmtId="0" fontId="11" fillId="4" borderId="9" xfId="0" applyFont="1" applyFill="1" applyBorder="1" applyAlignment="1" applyProtection="1">
      <alignment horizontal="center" vertical="center" wrapText="1"/>
      <protection hidden="1"/>
    </xf>
    <xf numFmtId="0" fontId="11" fillId="4" borderId="10" xfId="0" applyFont="1" applyFill="1" applyBorder="1" applyAlignment="1" applyProtection="1">
      <alignment horizontal="center" vertical="center" wrapText="1"/>
      <protection hidden="1"/>
    </xf>
    <xf numFmtId="2" fontId="10" fillId="0" borderId="10" xfId="0" applyNumberFormat="1" applyFont="1" applyBorder="1" applyAlignment="1" applyProtection="1">
      <alignment horizontal="center"/>
      <protection locked="0"/>
    </xf>
    <xf numFmtId="168" fontId="20" fillId="0" borderId="10" xfId="2" applyNumberFormat="1" applyFont="1" applyBorder="1" applyAlignment="1" applyProtection="1">
      <alignment horizontal="center" vertical="center" wrapText="1"/>
      <protection hidden="1"/>
    </xf>
    <xf numFmtId="168" fontId="21" fillId="0" borderId="10" xfId="2" applyNumberFormat="1" applyFont="1" applyBorder="1" applyAlignment="1" applyProtection="1">
      <alignment horizontal="center" vertical="center" wrapText="1"/>
      <protection hidden="1"/>
    </xf>
    <xf numFmtId="168" fontId="20" fillId="0" borderId="10" xfId="2" applyNumberFormat="1" applyFont="1" applyBorder="1" applyProtection="1">
      <protection hidden="1"/>
    </xf>
  </cellXfs>
  <cellStyles count="19">
    <cellStyle name="Comma 2" xfId="3" xr:uid="{00000000-0005-0000-0000-000006000000}"/>
    <cellStyle name="Comma 2 2" xfId="4" xr:uid="{00000000-0005-0000-0000-000007000000}"/>
    <cellStyle name="Comma 3" xfId="5" xr:uid="{00000000-0005-0000-0000-000008000000}"/>
    <cellStyle name="Comma 3 2" xfId="6" xr:uid="{00000000-0005-0000-0000-000009000000}"/>
    <cellStyle name="Currency 2" xfId="7" xr:uid="{00000000-0005-0000-0000-00000A000000}"/>
    <cellStyle name="Currency 2 2" xfId="8" xr:uid="{00000000-0005-0000-0000-00000B000000}"/>
    <cellStyle name="Moeda" xfId="2" builtinId="4"/>
    <cellStyle name="Normal" xfId="0" builtinId="0"/>
    <cellStyle name="Normal 10 2" xfId="9" xr:uid="{00000000-0005-0000-0000-00000C000000}"/>
    <cellStyle name="Normal 2" xfId="10" xr:uid="{00000000-0005-0000-0000-00000D000000}"/>
    <cellStyle name="Normal 3" xfId="11" xr:uid="{00000000-0005-0000-0000-00000E000000}"/>
    <cellStyle name="Vírgula" xfId="1" builtinId="3"/>
    <cellStyle name="Vírgula 2" xfId="12" xr:uid="{00000000-0005-0000-0000-00000F000000}"/>
    <cellStyle name="Vírgula 2 2" xfId="13" xr:uid="{00000000-0005-0000-0000-000010000000}"/>
    <cellStyle name="Vírgula 2 3" xfId="14" xr:uid="{00000000-0005-0000-0000-000011000000}"/>
    <cellStyle name="Vírgula 2 4" xfId="15" xr:uid="{00000000-0005-0000-0000-000012000000}"/>
    <cellStyle name="Vírgula 3" xfId="16" xr:uid="{00000000-0005-0000-0000-000013000000}"/>
    <cellStyle name="Vírgula 3 2" xfId="17" xr:uid="{00000000-0005-0000-0000-000014000000}"/>
    <cellStyle name="Vírgula 4" xfId="18" xr:uid="{00000000-0005-0000-0000-000015000000}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1044000</xdr:colOff>
      <xdr:row>1</xdr:row>
      <xdr:rowOff>176040</xdr:rowOff>
    </xdr:from>
    <xdr:to>
      <xdr:col>4</xdr:col>
      <xdr:colOff>1295280</xdr:colOff>
      <xdr:row>5</xdr:row>
      <xdr:rowOff>99720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28120" y="509400"/>
          <a:ext cx="2420280" cy="121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11:H272" totalsRowShown="0" headerRowDxfId="8" headerRowBorderDxfId="7">
  <autoFilter ref="B11:H272" xr:uid="{00000000-0009-0000-0100-000001000000}">
    <filterColumn colId="4">
      <customFilters>
        <customFilter operator="notEqual" val=" "/>
      </customFilters>
    </filterColumn>
  </autoFilter>
  <tableColumns count="7">
    <tableColumn id="1" xr3:uid="{00000000-0010-0000-0000-000001000000}" name="Atividade" dataDxfId="6"/>
    <tableColumn id="2" xr3:uid="{00000000-0010-0000-0000-000002000000}" name="Item" dataDxfId="5"/>
    <tableColumn id="3" xr3:uid="{00000000-0010-0000-0000-000003000000}" name="Descrição" dataDxfId="4"/>
    <tableColumn id="4" xr3:uid="{00000000-0010-0000-0000-000004000000}" name="Unid. Medida" dataDxfId="3"/>
    <tableColumn id="5" xr3:uid="{00000000-0010-0000-0000-000005000000}" name="Quant" dataDxfId="2"/>
    <tableColumn id="6" xr3:uid="{00000000-0010-0000-0000-000006000000}" name="Valor Unit" dataDxfId="1"/>
    <tableColumn id="7" xr3:uid="{00000000-0010-0000-0000-000007000000}" name="Valor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89"/>
  <sheetViews>
    <sheetView showGridLines="0" showRowColHeaders="0" topLeftCell="B1" zoomScaleNormal="100" workbookViewId="0">
      <selection activeCell="E13" sqref="E13"/>
    </sheetView>
  </sheetViews>
  <sheetFormatPr defaultColWidth="8.6640625" defaultRowHeight="14.4" x14ac:dyDescent="0.3"/>
  <cols>
    <col min="1" max="1" width="8.6640625" style="1" hidden="1"/>
    <col min="2" max="3" width="9.109375" style="1" customWidth="1"/>
    <col min="4" max="4" width="30.77734375" style="1" customWidth="1"/>
    <col min="5" max="5" width="33.77734375" style="1" customWidth="1"/>
    <col min="6" max="8" width="9.109375" style="1" customWidth="1"/>
    <col min="9" max="21" width="9.109375" style="2" customWidth="1"/>
    <col min="22" max="23" width="9.109375" style="1" customWidth="1"/>
    <col min="24" max="16384" width="8.6640625" style="1"/>
  </cols>
  <sheetData>
    <row r="1" spans="2:21" s="3" customFormat="1" ht="26.25" customHeight="1" x14ac:dyDescent="0.5">
      <c r="B1" s="4"/>
      <c r="C1" s="4"/>
      <c r="D1" s="4"/>
      <c r="E1" s="4"/>
      <c r="F1" s="5"/>
      <c r="G1" s="5"/>
      <c r="H1" s="5"/>
      <c r="I1" s="5"/>
      <c r="J1" s="6"/>
    </row>
    <row r="2" spans="2:21" s="3" customFormat="1" ht="25.5" customHeight="1" x14ac:dyDescent="0.5">
      <c r="B2" s="4"/>
      <c r="C2" s="4"/>
      <c r="D2" s="7"/>
      <c r="E2" s="8"/>
      <c r="F2" s="5"/>
      <c r="G2" s="5"/>
      <c r="H2" s="9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s="3" customFormat="1" ht="25.5" customHeight="1" x14ac:dyDescent="0.5">
      <c r="B3" s="4"/>
      <c r="C3" s="4"/>
      <c r="D3" s="10"/>
      <c r="E3" s="11"/>
      <c r="F3" s="5"/>
      <c r="G3" s="5"/>
      <c r="H3" s="9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s="3" customFormat="1" ht="25.5" customHeight="1" x14ac:dyDescent="0.5">
      <c r="B4" s="4"/>
      <c r="C4" s="4"/>
      <c r="D4" s="10"/>
      <c r="E4" s="11"/>
      <c r="F4" s="5"/>
      <c r="G4" s="5"/>
      <c r="H4" s="9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s="3" customFormat="1" ht="25.5" customHeight="1" x14ac:dyDescent="0.5">
      <c r="B5" s="4"/>
      <c r="C5" s="4"/>
      <c r="D5" s="10"/>
      <c r="E5" s="11"/>
      <c r="F5" s="5"/>
      <c r="G5" s="5"/>
      <c r="H5" s="9"/>
      <c r="I5" s="6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s="3" customFormat="1" ht="26.25" customHeight="1" x14ac:dyDescent="0.5">
      <c r="B6" s="4"/>
      <c r="C6" s="4"/>
      <c r="D6" s="12"/>
      <c r="E6" s="13"/>
      <c r="F6" s="5"/>
      <c r="G6" s="5"/>
      <c r="H6" s="5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2:21" s="3" customFormat="1" ht="26.25" customHeight="1" x14ac:dyDescent="0.5">
      <c r="B7" s="4"/>
      <c r="C7" s="4"/>
      <c r="D7" s="14" t="s">
        <v>0</v>
      </c>
      <c r="E7" s="53">
        <f ca="1">TODAY()</f>
        <v>46244</v>
      </c>
      <c r="F7" s="16" t="str">
        <f ca="1">IF(E7="","PREENCHIMENTO OBRIGATÓRIO","")</f>
        <v/>
      </c>
      <c r="H7" s="5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s="3" customFormat="1" ht="27" customHeight="1" x14ac:dyDescent="0.5">
      <c r="B8" s="4"/>
      <c r="C8" s="4"/>
      <c r="D8" s="17" t="s">
        <v>1</v>
      </c>
      <c r="E8" s="15" t="s">
        <v>592</v>
      </c>
      <c r="F8" s="16" t="str">
        <f>IF(E8="","PREENCHIMENTO OBRIGATÓRIO","")</f>
        <v/>
      </c>
      <c r="G8" s="5"/>
      <c r="H8" s="5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s="3" customFormat="1" ht="27" customHeight="1" x14ac:dyDescent="0.5">
      <c r="B9" s="4"/>
      <c r="C9" s="4"/>
      <c r="D9" s="17" t="s">
        <v>2</v>
      </c>
      <c r="E9" s="18" t="s">
        <v>577</v>
      </c>
      <c r="F9" s="16" t="str">
        <f>IF(E9="","PREENCHIMENTO OBRIGATÓRIO","")</f>
        <v/>
      </c>
      <c r="G9" s="5"/>
      <c r="H9" s="5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s="3" customFormat="1" ht="27" customHeight="1" x14ac:dyDescent="0.5">
      <c r="B10" s="4"/>
      <c r="C10" s="4"/>
      <c r="D10" s="17" t="s">
        <v>4</v>
      </c>
      <c r="E10" s="19" t="s">
        <v>593</v>
      </c>
      <c r="F10" s="16" t="str">
        <f>IF(E10="","PREENCHIMENTO OBRIGATÓRIO","")</f>
        <v/>
      </c>
      <c r="G10" s="5"/>
      <c r="H10" s="5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s="3" customFormat="1" ht="27" customHeight="1" x14ac:dyDescent="0.5">
      <c r="B11" s="4"/>
      <c r="C11" s="4"/>
      <c r="D11" s="17" t="s">
        <v>6</v>
      </c>
      <c r="E11" s="19" t="s">
        <v>594</v>
      </c>
      <c r="F11" s="9"/>
      <c r="G11" s="5"/>
      <c r="H11" s="9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7" customHeight="1" x14ac:dyDescent="0.5">
      <c r="B12" s="4"/>
      <c r="C12" s="4"/>
      <c r="D12" s="17" t="s">
        <v>8</v>
      </c>
      <c r="E12" s="19" t="s">
        <v>595</v>
      </c>
      <c r="F12" s="16" t="str">
        <f>IF(E12="","PREENCHIMENTO OBRIGATÓRIO","")</f>
        <v/>
      </c>
      <c r="G12" s="5"/>
      <c r="H12" s="5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 s="3" customFormat="1" ht="26.25" customHeight="1" x14ac:dyDescent="0.5">
      <c r="B13" s="4"/>
      <c r="C13" s="4"/>
      <c r="D13" s="20"/>
      <c r="E13" s="20"/>
      <c r="F13" s="5"/>
      <c r="G13" s="5"/>
      <c r="H13" s="5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 s="3" customFormat="1" ht="25.5" customHeight="1" x14ac:dyDescent="0.5">
      <c r="B14" s="4"/>
      <c r="C14" s="4"/>
      <c r="D14" s="20"/>
      <c r="E14" s="20"/>
      <c r="F14" s="5"/>
      <c r="G14" s="5"/>
      <c r="H14" s="5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ht="25.5" customHeight="1" x14ac:dyDescent="0.5">
      <c r="B15" s="4"/>
      <c r="C15" s="4"/>
      <c r="F15" s="4"/>
      <c r="H15" s="4"/>
    </row>
    <row r="16" spans="2:21" ht="25.5" customHeight="1" x14ac:dyDescent="0.5">
      <c r="B16" s="4"/>
      <c r="C16" s="4"/>
      <c r="F16" s="4"/>
      <c r="H16" s="4"/>
    </row>
    <row r="17" spans="2:8" ht="25.5" customHeight="1" x14ac:dyDescent="0.5">
      <c r="B17" s="4"/>
      <c r="C17" s="4"/>
      <c r="F17" s="4"/>
      <c r="H17" s="4"/>
    </row>
    <row r="18" spans="2:8" ht="25.5" customHeight="1" x14ac:dyDescent="0.5">
      <c r="B18" s="4"/>
      <c r="C18" s="4"/>
      <c r="F18" s="4"/>
      <c r="H18" s="4"/>
    </row>
    <row r="19" spans="2:8" ht="25.5" customHeight="1" x14ac:dyDescent="0.5">
      <c r="B19" s="4"/>
      <c r="C19" s="4"/>
      <c r="F19" s="4"/>
      <c r="H19" s="4"/>
    </row>
    <row r="20" spans="2:8" ht="25.5" customHeight="1" x14ac:dyDescent="0.5">
      <c r="B20" s="4"/>
      <c r="C20" s="4"/>
      <c r="F20" s="4"/>
      <c r="H20" s="4"/>
    </row>
    <row r="21" spans="2:8" ht="25.5" customHeight="1" x14ac:dyDescent="0.5">
      <c r="B21" s="4"/>
      <c r="C21" s="4"/>
      <c r="F21" s="4"/>
      <c r="H21" s="4"/>
    </row>
    <row r="22" spans="2:8" ht="25.5" customHeight="1" x14ac:dyDescent="0.5">
      <c r="B22" s="4"/>
      <c r="C22" s="4"/>
      <c r="F22" s="4"/>
      <c r="H22" s="4"/>
    </row>
    <row r="23" spans="2:8" ht="25.5" customHeight="1" x14ac:dyDescent="0.5">
      <c r="B23" s="4"/>
      <c r="C23" s="4"/>
      <c r="F23" s="4"/>
      <c r="H23" s="4"/>
    </row>
    <row r="24" spans="2:8" ht="25.5" customHeight="1" x14ac:dyDescent="0.5">
      <c r="B24" s="4"/>
      <c r="C24" s="4"/>
      <c r="F24" s="4"/>
      <c r="H24" s="4"/>
    </row>
    <row r="25" spans="2:8" ht="25.5" customHeight="1" x14ac:dyDescent="0.5">
      <c r="B25" s="4"/>
      <c r="C25" s="4"/>
      <c r="F25" s="4"/>
      <c r="H25" s="4"/>
    </row>
    <row r="26" spans="2:8" ht="25.5" customHeight="1" x14ac:dyDescent="0.5">
      <c r="B26" s="4"/>
      <c r="C26" s="4"/>
      <c r="F26" s="4"/>
      <c r="H26" s="4"/>
    </row>
    <row r="27" spans="2:8" ht="25.5" customHeight="1" x14ac:dyDescent="0.5">
      <c r="B27" s="4"/>
      <c r="C27" s="4"/>
      <c r="F27" s="4"/>
      <c r="H27" s="4"/>
    </row>
    <row r="28" spans="2:8" ht="25.5" customHeight="1" x14ac:dyDescent="0.5">
      <c r="B28" s="4"/>
      <c r="C28" s="4"/>
      <c r="F28" s="4"/>
      <c r="H28" s="4"/>
    </row>
    <row r="29" spans="2:8" ht="25.5" customHeight="1" x14ac:dyDescent="0.5">
      <c r="B29" s="4"/>
      <c r="C29" s="4"/>
      <c r="F29" s="4"/>
      <c r="H29" s="4"/>
    </row>
    <row r="30" spans="2:8" ht="25.5" customHeight="1" x14ac:dyDescent="0.5">
      <c r="B30" s="4"/>
      <c r="C30" s="4"/>
      <c r="F30" s="4"/>
      <c r="H30" s="4"/>
    </row>
    <row r="31" spans="2:8" ht="25.5" customHeight="1" x14ac:dyDescent="0.5">
      <c r="B31" s="4"/>
      <c r="C31" s="4"/>
      <c r="F31" s="4"/>
      <c r="H31" s="4"/>
    </row>
    <row r="32" spans="2:8" ht="25.5" customHeight="1" x14ac:dyDescent="0.5">
      <c r="B32" s="4"/>
      <c r="C32" s="4"/>
      <c r="F32" s="4"/>
      <c r="H32" s="4"/>
    </row>
    <row r="33" spans="2:8" ht="25.5" customHeight="1" x14ac:dyDescent="0.5">
      <c r="B33" s="4"/>
      <c r="C33" s="4"/>
      <c r="F33" s="4"/>
      <c r="H33" s="4"/>
    </row>
    <row r="34" spans="2:8" ht="25.5" customHeight="1" x14ac:dyDescent="0.5">
      <c r="B34" s="4"/>
      <c r="C34" s="4"/>
      <c r="F34" s="4"/>
      <c r="H34" s="4"/>
    </row>
    <row r="35" spans="2:8" ht="25.5" customHeight="1" x14ac:dyDescent="0.5">
      <c r="B35" s="4"/>
      <c r="C35" s="4"/>
      <c r="F35" s="4"/>
      <c r="H35" s="4"/>
    </row>
    <row r="36" spans="2:8" ht="25.5" customHeight="1" x14ac:dyDescent="0.5">
      <c r="B36" s="4"/>
      <c r="C36" s="4"/>
      <c r="F36" s="4"/>
      <c r="H36" s="4"/>
    </row>
    <row r="37" spans="2:8" ht="25.5" customHeight="1" x14ac:dyDescent="0.5">
      <c r="B37" s="4"/>
      <c r="C37" s="4"/>
      <c r="F37" s="4"/>
      <c r="H37" s="4"/>
    </row>
    <row r="38" spans="2:8" ht="25.5" customHeight="1" x14ac:dyDescent="0.5">
      <c r="B38" s="4"/>
      <c r="C38" s="4"/>
      <c r="F38" s="4"/>
      <c r="H38" s="4"/>
    </row>
    <row r="39" spans="2:8" ht="25.5" customHeight="1" x14ac:dyDescent="0.5">
      <c r="B39" s="4"/>
      <c r="C39" s="4"/>
      <c r="F39" s="4"/>
      <c r="H39" s="4"/>
    </row>
    <row r="40" spans="2:8" ht="25.5" customHeight="1" x14ac:dyDescent="0.5">
      <c r="B40" s="4"/>
      <c r="C40" s="4"/>
      <c r="F40" s="4"/>
      <c r="H40" s="4"/>
    </row>
    <row r="41" spans="2:8" ht="25.5" customHeight="1" x14ac:dyDescent="0.5">
      <c r="B41" s="4"/>
      <c r="C41" s="4"/>
      <c r="F41" s="4"/>
      <c r="H41" s="4"/>
    </row>
    <row r="42" spans="2:8" ht="25.5" customHeight="1" x14ac:dyDescent="0.5">
      <c r="B42" s="4"/>
      <c r="C42" s="4"/>
      <c r="F42" s="4"/>
      <c r="H42" s="4"/>
    </row>
    <row r="43" spans="2:8" ht="25.5" customHeight="1" x14ac:dyDescent="0.5">
      <c r="B43" s="4"/>
      <c r="C43" s="4"/>
      <c r="F43" s="4"/>
      <c r="H43" s="4"/>
    </row>
    <row r="44" spans="2:8" ht="25.5" customHeight="1" x14ac:dyDescent="0.5">
      <c r="B44" s="4"/>
      <c r="C44" s="4"/>
      <c r="F44" s="4"/>
      <c r="H44" s="4"/>
    </row>
    <row r="45" spans="2:8" ht="25.5" customHeight="1" x14ac:dyDescent="0.5">
      <c r="B45" s="4"/>
      <c r="C45" s="4"/>
      <c r="F45" s="4"/>
      <c r="H45" s="4"/>
    </row>
    <row r="46" spans="2:8" ht="25.5" customHeight="1" x14ac:dyDescent="0.5">
      <c r="B46" s="4"/>
      <c r="C46" s="4"/>
      <c r="F46" s="4"/>
      <c r="H46" s="4"/>
    </row>
    <row r="47" spans="2:8" ht="25.5" customHeight="1" x14ac:dyDescent="0.5">
      <c r="B47" s="4"/>
      <c r="C47" s="4"/>
      <c r="F47" s="4"/>
      <c r="H47" s="4"/>
    </row>
    <row r="48" spans="2:8" ht="25.5" customHeight="1" x14ac:dyDescent="0.5">
      <c r="B48" s="4"/>
      <c r="C48" s="4"/>
      <c r="F48" s="4"/>
      <c r="H48" s="4"/>
    </row>
    <row r="49" spans="2:8" ht="25.5" customHeight="1" x14ac:dyDescent="0.5">
      <c r="B49" s="4"/>
      <c r="C49" s="4"/>
      <c r="F49" s="4"/>
      <c r="H49" s="4"/>
    </row>
    <row r="50" spans="2:8" ht="25.5" customHeight="1" x14ac:dyDescent="0.5">
      <c r="B50" s="4"/>
      <c r="C50" s="4"/>
      <c r="F50" s="4"/>
      <c r="H50" s="4"/>
    </row>
    <row r="51" spans="2:8" ht="25.5" customHeight="1" x14ac:dyDescent="0.5">
      <c r="B51" s="4"/>
      <c r="C51" s="4"/>
      <c r="F51" s="4"/>
      <c r="H51" s="4"/>
    </row>
    <row r="52" spans="2:8" ht="25.5" customHeight="1" x14ac:dyDescent="0.5">
      <c r="B52" s="4"/>
      <c r="C52" s="4"/>
      <c r="F52" s="4"/>
      <c r="H52" s="4"/>
    </row>
    <row r="53" spans="2:8" ht="25.5" customHeight="1" x14ac:dyDescent="0.5">
      <c r="B53" s="4"/>
      <c r="C53" s="4"/>
      <c r="F53" s="4"/>
      <c r="H53" s="4"/>
    </row>
    <row r="54" spans="2:8" ht="25.5" customHeight="1" x14ac:dyDescent="0.5">
      <c r="B54" s="4"/>
      <c r="C54" s="4"/>
      <c r="F54" s="4"/>
      <c r="H54" s="4"/>
    </row>
    <row r="55" spans="2:8" ht="25.5" customHeight="1" x14ac:dyDescent="0.5">
      <c r="B55" s="4"/>
      <c r="C55" s="4"/>
      <c r="F55" s="4"/>
      <c r="H55" s="4"/>
    </row>
    <row r="56" spans="2:8" ht="25.5" customHeight="1" x14ac:dyDescent="0.5">
      <c r="B56" s="4"/>
      <c r="C56" s="4"/>
      <c r="F56" s="4"/>
      <c r="H56" s="4"/>
    </row>
    <row r="57" spans="2:8" ht="25.5" customHeight="1" x14ac:dyDescent="0.5">
      <c r="B57" s="4"/>
      <c r="C57" s="4"/>
      <c r="F57" s="4"/>
      <c r="H57" s="4"/>
    </row>
    <row r="58" spans="2:8" ht="25.5" customHeight="1" x14ac:dyDescent="0.5">
      <c r="B58" s="4"/>
      <c r="C58" s="4"/>
      <c r="F58" s="4"/>
      <c r="H58" s="4"/>
    </row>
    <row r="59" spans="2:8" ht="25.5" customHeight="1" x14ac:dyDescent="0.5">
      <c r="B59" s="4"/>
      <c r="C59" s="4"/>
      <c r="F59" s="4"/>
      <c r="H59" s="4"/>
    </row>
    <row r="60" spans="2:8" ht="25.5" customHeight="1" x14ac:dyDescent="0.5">
      <c r="B60" s="4"/>
      <c r="C60" s="4"/>
      <c r="F60" s="4"/>
      <c r="H60" s="4"/>
    </row>
    <row r="61" spans="2:8" ht="25.5" customHeight="1" x14ac:dyDescent="0.5">
      <c r="B61" s="4"/>
      <c r="C61" s="4"/>
      <c r="F61" s="4"/>
      <c r="H61" s="4"/>
    </row>
    <row r="62" spans="2:8" ht="25.5" customHeight="1" x14ac:dyDescent="0.5">
      <c r="B62" s="4"/>
      <c r="C62" s="4"/>
      <c r="F62" s="4"/>
      <c r="H62" s="4"/>
    </row>
    <row r="63" spans="2:8" ht="25.5" customHeight="1" x14ac:dyDescent="0.5">
      <c r="B63" s="4"/>
      <c r="C63" s="4"/>
      <c r="F63" s="4"/>
      <c r="H63" s="4"/>
    </row>
    <row r="64" spans="2:8" ht="25.5" customHeight="1" x14ac:dyDescent="0.5">
      <c r="B64" s="4"/>
      <c r="C64" s="4"/>
      <c r="F64" s="4"/>
      <c r="H64" s="4"/>
    </row>
    <row r="65" spans="2:8" ht="25.5" customHeight="1" x14ac:dyDescent="0.5">
      <c r="B65" s="4"/>
      <c r="C65" s="4"/>
      <c r="F65" s="4"/>
      <c r="H65" s="4"/>
    </row>
    <row r="66" spans="2:8" ht="25.5" customHeight="1" x14ac:dyDescent="0.5">
      <c r="B66" s="4"/>
      <c r="C66" s="4"/>
      <c r="F66" s="4"/>
      <c r="H66" s="4"/>
    </row>
    <row r="67" spans="2:8" ht="25.5" customHeight="1" x14ac:dyDescent="0.5">
      <c r="B67" s="4"/>
      <c r="C67" s="4"/>
      <c r="F67" s="4"/>
      <c r="H67" s="4"/>
    </row>
    <row r="68" spans="2:8" ht="25.5" customHeight="1" x14ac:dyDescent="0.5">
      <c r="B68" s="4"/>
      <c r="C68" s="4"/>
      <c r="F68" s="4"/>
      <c r="H68" s="4"/>
    </row>
    <row r="69" spans="2:8" ht="25.5" customHeight="1" x14ac:dyDescent="0.5">
      <c r="B69" s="4"/>
      <c r="C69" s="4"/>
      <c r="F69" s="4"/>
      <c r="H69" s="4"/>
    </row>
    <row r="70" spans="2:8" ht="25.5" customHeight="1" x14ac:dyDescent="0.5">
      <c r="B70" s="4"/>
      <c r="C70" s="4"/>
      <c r="F70" s="4"/>
      <c r="H70" s="4"/>
    </row>
    <row r="71" spans="2:8" ht="25.5" customHeight="1" x14ac:dyDescent="0.5">
      <c r="B71" s="4"/>
      <c r="C71" s="4"/>
      <c r="F71" s="4"/>
      <c r="H71" s="4"/>
    </row>
    <row r="72" spans="2:8" ht="25.5" customHeight="1" x14ac:dyDescent="0.5">
      <c r="B72" s="4"/>
      <c r="C72" s="4"/>
      <c r="F72" s="4"/>
      <c r="H72" s="4"/>
    </row>
    <row r="73" spans="2:8" ht="25.5" customHeight="1" x14ac:dyDescent="0.5">
      <c r="B73" s="4"/>
      <c r="C73" s="4"/>
      <c r="F73" s="4"/>
      <c r="H73" s="4"/>
    </row>
    <row r="74" spans="2:8" ht="25.5" customHeight="1" x14ac:dyDescent="0.5">
      <c r="B74" s="4"/>
      <c r="C74" s="4"/>
      <c r="F74" s="4"/>
      <c r="H74" s="4"/>
    </row>
    <row r="75" spans="2:8" ht="25.5" customHeight="1" x14ac:dyDescent="0.5">
      <c r="B75" s="4"/>
      <c r="C75" s="4"/>
      <c r="F75" s="4"/>
      <c r="H75" s="4"/>
    </row>
    <row r="76" spans="2:8" ht="25.5" customHeight="1" x14ac:dyDescent="0.5">
      <c r="B76" s="4"/>
      <c r="C76" s="4"/>
      <c r="F76" s="4"/>
      <c r="H76" s="4"/>
    </row>
    <row r="77" spans="2:8" ht="25.5" customHeight="1" x14ac:dyDescent="0.5">
      <c r="B77" s="4"/>
      <c r="C77" s="4"/>
      <c r="F77" s="4"/>
      <c r="H77" s="4"/>
    </row>
    <row r="78" spans="2:8" ht="25.5" customHeight="1" x14ac:dyDescent="0.5">
      <c r="B78" s="4"/>
      <c r="C78" s="4"/>
      <c r="F78" s="4"/>
      <c r="H78" s="4"/>
    </row>
    <row r="79" spans="2:8" ht="25.5" customHeight="1" x14ac:dyDescent="0.5">
      <c r="B79" s="4"/>
      <c r="C79" s="4"/>
      <c r="F79" s="4"/>
      <c r="H79" s="4"/>
    </row>
    <row r="80" spans="2:8" ht="25.5" customHeight="1" x14ac:dyDescent="0.5">
      <c r="B80" s="4"/>
      <c r="C80" s="4"/>
      <c r="F80" s="4"/>
      <c r="H80" s="4"/>
    </row>
    <row r="81" spans="2:8" ht="25.5" customHeight="1" x14ac:dyDescent="0.5">
      <c r="B81" s="4"/>
      <c r="C81" s="4"/>
      <c r="F81" s="4"/>
      <c r="H81" s="4"/>
    </row>
    <row r="82" spans="2:8" ht="25.5" customHeight="1" x14ac:dyDescent="0.5">
      <c r="B82" s="4"/>
      <c r="C82" s="4"/>
      <c r="F82" s="4"/>
      <c r="H82" s="4"/>
    </row>
    <row r="83" spans="2:8" ht="25.5" customHeight="1" x14ac:dyDescent="0.5">
      <c r="B83" s="4"/>
      <c r="C83" s="4"/>
      <c r="F83" s="4"/>
      <c r="H83" s="4"/>
    </row>
    <row r="84" spans="2:8" ht="25.5" customHeight="1" x14ac:dyDescent="0.5">
      <c r="B84" s="4"/>
      <c r="C84" s="4"/>
      <c r="F84" s="4"/>
      <c r="H84" s="4"/>
    </row>
    <row r="85" spans="2:8" ht="25.5" customHeight="1" x14ac:dyDescent="0.5">
      <c r="B85" s="4"/>
      <c r="C85" s="4"/>
      <c r="F85" s="4"/>
      <c r="H85" s="4"/>
    </row>
    <row r="86" spans="2:8" ht="25.5" customHeight="1" x14ac:dyDescent="0.5">
      <c r="B86" s="4"/>
      <c r="C86" s="4"/>
      <c r="F86" s="4"/>
      <c r="H86" s="4"/>
    </row>
    <row r="87" spans="2:8" ht="25.5" customHeight="1" x14ac:dyDescent="0.5">
      <c r="B87" s="4"/>
      <c r="C87" s="4"/>
      <c r="F87" s="4"/>
      <c r="H87" s="4"/>
    </row>
    <row r="88" spans="2:8" ht="25.5" customHeight="1" x14ac:dyDescent="0.5">
      <c r="B88" s="4"/>
      <c r="C88" s="4"/>
      <c r="F88" s="4"/>
      <c r="H88" s="4"/>
    </row>
    <row r="89" spans="2:8" ht="25.5" customHeight="1" x14ac:dyDescent="0.5">
      <c r="B89" s="4"/>
      <c r="C89" s="4"/>
      <c r="F89" s="4"/>
      <c r="H89" s="4"/>
    </row>
    <row r="90" spans="2:8" ht="25.5" customHeight="1" x14ac:dyDescent="0.5">
      <c r="B90" s="4"/>
      <c r="C90" s="4"/>
      <c r="F90" s="4"/>
      <c r="H90" s="4"/>
    </row>
    <row r="91" spans="2:8" ht="25.5" customHeight="1" x14ac:dyDescent="0.5">
      <c r="B91" s="4"/>
      <c r="C91" s="4"/>
      <c r="F91" s="4"/>
      <c r="H91" s="4"/>
    </row>
    <row r="92" spans="2:8" ht="25.5" customHeight="1" x14ac:dyDescent="0.5">
      <c r="B92" s="4"/>
      <c r="C92" s="4"/>
      <c r="F92" s="4"/>
      <c r="H92" s="4"/>
    </row>
    <row r="93" spans="2:8" ht="25.5" customHeight="1" x14ac:dyDescent="0.5">
      <c r="B93" s="4"/>
      <c r="C93" s="4"/>
      <c r="F93" s="4"/>
      <c r="H93" s="4"/>
    </row>
    <row r="94" spans="2:8" ht="25.5" customHeight="1" x14ac:dyDescent="0.5">
      <c r="B94" s="4"/>
      <c r="C94" s="4"/>
      <c r="F94" s="4"/>
      <c r="H94" s="4"/>
    </row>
    <row r="95" spans="2:8" ht="25.5" customHeight="1" x14ac:dyDescent="0.5">
      <c r="B95" s="4"/>
      <c r="C95" s="4"/>
      <c r="F95" s="4"/>
      <c r="H95" s="4"/>
    </row>
    <row r="96" spans="2:8" ht="25.5" customHeight="1" x14ac:dyDescent="0.5">
      <c r="B96" s="4"/>
      <c r="C96" s="4"/>
      <c r="F96" s="4"/>
      <c r="H96" s="4"/>
    </row>
    <row r="97" spans="2:8" ht="25.5" customHeight="1" x14ac:dyDescent="0.5">
      <c r="B97" s="4"/>
      <c r="C97" s="4"/>
      <c r="F97" s="4"/>
      <c r="H97" s="4"/>
    </row>
    <row r="98" spans="2:8" ht="25.5" customHeight="1" x14ac:dyDescent="0.5">
      <c r="B98" s="4"/>
      <c r="C98" s="4"/>
      <c r="F98" s="4"/>
      <c r="H98" s="4"/>
    </row>
    <row r="99" spans="2:8" ht="25.5" customHeight="1" x14ac:dyDescent="0.5">
      <c r="B99" s="4"/>
      <c r="C99" s="4"/>
      <c r="F99" s="4"/>
      <c r="H99" s="4"/>
    </row>
    <row r="100" spans="2:8" ht="25.5" customHeight="1" x14ac:dyDescent="0.5">
      <c r="B100" s="4"/>
      <c r="C100" s="4"/>
      <c r="F100" s="4"/>
      <c r="H100" s="4"/>
    </row>
    <row r="101" spans="2:8" ht="25.5" customHeight="1" x14ac:dyDescent="0.5">
      <c r="B101" s="4"/>
      <c r="C101" s="4"/>
      <c r="F101" s="4"/>
      <c r="H101" s="4"/>
    </row>
    <row r="102" spans="2:8" ht="25.5" customHeight="1" x14ac:dyDescent="0.5">
      <c r="B102" s="4"/>
      <c r="C102" s="4"/>
      <c r="F102" s="4"/>
      <c r="H102" s="4"/>
    </row>
    <row r="103" spans="2:8" ht="25.5" customHeight="1" x14ac:dyDescent="0.5">
      <c r="B103" s="4"/>
      <c r="C103" s="4"/>
      <c r="F103" s="4"/>
      <c r="H103" s="4"/>
    </row>
    <row r="104" spans="2:8" ht="25.5" customHeight="1" x14ac:dyDescent="0.5">
      <c r="B104" s="4"/>
      <c r="C104" s="4"/>
      <c r="F104" s="4"/>
      <c r="H104" s="4"/>
    </row>
    <row r="105" spans="2:8" ht="25.5" customHeight="1" x14ac:dyDescent="0.5">
      <c r="B105" s="4"/>
      <c r="C105" s="4"/>
      <c r="F105" s="4"/>
      <c r="H105" s="4"/>
    </row>
    <row r="106" spans="2:8" ht="25.5" customHeight="1" x14ac:dyDescent="0.5">
      <c r="B106" s="4"/>
      <c r="C106" s="4"/>
      <c r="F106" s="4"/>
      <c r="H106" s="4"/>
    </row>
    <row r="107" spans="2:8" ht="25.5" customHeight="1" x14ac:dyDescent="0.5">
      <c r="B107" s="4"/>
      <c r="C107" s="4"/>
      <c r="F107" s="4"/>
      <c r="H107" s="4"/>
    </row>
    <row r="108" spans="2:8" ht="25.5" customHeight="1" x14ac:dyDescent="0.5">
      <c r="B108" s="4"/>
      <c r="C108" s="4"/>
      <c r="F108" s="4"/>
      <c r="H108" s="4"/>
    </row>
    <row r="109" spans="2:8" ht="25.5" customHeight="1" x14ac:dyDescent="0.5">
      <c r="B109" s="4"/>
      <c r="C109" s="4"/>
      <c r="F109" s="4"/>
      <c r="H109" s="4"/>
    </row>
    <row r="110" spans="2:8" ht="25.5" customHeight="1" x14ac:dyDescent="0.5">
      <c r="B110" s="4"/>
      <c r="C110" s="4"/>
      <c r="F110" s="4"/>
      <c r="H110" s="4"/>
    </row>
    <row r="111" spans="2:8" ht="25.5" customHeight="1" x14ac:dyDescent="0.5">
      <c r="B111" s="4"/>
      <c r="C111" s="4"/>
      <c r="F111" s="4"/>
      <c r="H111" s="4"/>
    </row>
    <row r="112" spans="2:8" ht="25.5" customHeight="1" x14ac:dyDescent="0.5">
      <c r="B112" s="4"/>
      <c r="C112" s="4"/>
      <c r="F112" s="4"/>
      <c r="H112" s="4"/>
    </row>
    <row r="113" spans="2:8" ht="25.5" customHeight="1" x14ac:dyDescent="0.5">
      <c r="B113" s="4"/>
      <c r="C113" s="4"/>
      <c r="F113" s="4"/>
      <c r="H113" s="4"/>
    </row>
    <row r="114" spans="2:8" ht="25.5" customHeight="1" x14ac:dyDescent="0.5">
      <c r="B114" s="4"/>
      <c r="C114" s="4"/>
      <c r="F114" s="4"/>
      <c r="H114" s="4"/>
    </row>
    <row r="115" spans="2:8" ht="25.5" customHeight="1" x14ac:dyDescent="0.5">
      <c r="B115" s="4"/>
      <c r="C115" s="4"/>
      <c r="F115" s="4"/>
      <c r="H115" s="4"/>
    </row>
    <row r="116" spans="2:8" ht="25.5" customHeight="1" x14ac:dyDescent="0.5">
      <c r="B116" s="4"/>
      <c r="C116" s="4"/>
      <c r="F116" s="4"/>
      <c r="H116" s="4"/>
    </row>
    <row r="117" spans="2:8" ht="25.5" customHeight="1" x14ac:dyDescent="0.5">
      <c r="B117" s="4"/>
      <c r="C117" s="4"/>
      <c r="F117" s="4"/>
      <c r="H117" s="4"/>
    </row>
    <row r="118" spans="2:8" ht="25.5" customHeight="1" x14ac:dyDescent="0.5">
      <c r="B118" s="4"/>
      <c r="C118" s="4"/>
      <c r="F118" s="4"/>
      <c r="H118" s="4"/>
    </row>
    <row r="119" spans="2:8" ht="25.5" customHeight="1" x14ac:dyDescent="0.5">
      <c r="B119" s="4"/>
      <c r="C119" s="4"/>
      <c r="F119" s="4"/>
      <c r="H119" s="4"/>
    </row>
    <row r="120" spans="2:8" ht="25.5" customHeight="1" x14ac:dyDescent="0.5">
      <c r="B120" s="4"/>
      <c r="C120" s="4"/>
      <c r="F120" s="4"/>
      <c r="H120" s="4"/>
    </row>
    <row r="121" spans="2:8" ht="25.5" customHeight="1" x14ac:dyDescent="0.5">
      <c r="B121" s="4"/>
      <c r="C121" s="4"/>
      <c r="F121" s="4"/>
      <c r="H121" s="4"/>
    </row>
    <row r="122" spans="2:8" ht="25.5" customHeight="1" x14ac:dyDescent="0.5">
      <c r="B122" s="4"/>
      <c r="C122" s="4"/>
      <c r="F122" s="4"/>
      <c r="H122" s="4"/>
    </row>
    <row r="123" spans="2:8" ht="25.5" customHeight="1" x14ac:dyDescent="0.5">
      <c r="B123" s="4"/>
      <c r="C123" s="4"/>
      <c r="F123" s="4"/>
      <c r="H123" s="4"/>
    </row>
    <row r="124" spans="2:8" ht="25.5" customHeight="1" x14ac:dyDescent="0.5">
      <c r="B124" s="4"/>
      <c r="C124" s="4"/>
      <c r="F124" s="4"/>
      <c r="H124" s="4"/>
    </row>
    <row r="125" spans="2:8" ht="25.5" customHeight="1" x14ac:dyDescent="0.5">
      <c r="B125" s="4"/>
      <c r="C125" s="4"/>
      <c r="F125" s="4"/>
      <c r="H125" s="4"/>
    </row>
    <row r="126" spans="2:8" ht="25.5" customHeight="1" x14ac:dyDescent="0.5">
      <c r="B126" s="4"/>
      <c r="C126" s="4"/>
      <c r="F126" s="4"/>
      <c r="H126" s="4"/>
    </row>
    <row r="127" spans="2:8" ht="25.5" customHeight="1" x14ac:dyDescent="0.5">
      <c r="B127" s="4"/>
      <c r="C127" s="4"/>
      <c r="F127" s="4"/>
      <c r="H127" s="4"/>
    </row>
    <row r="128" spans="2:8" ht="25.5" customHeight="1" x14ac:dyDescent="0.5">
      <c r="B128" s="4"/>
      <c r="C128" s="4"/>
      <c r="F128" s="4"/>
      <c r="H128" s="4"/>
    </row>
    <row r="129" spans="2:8" ht="25.5" customHeight="1" x14ac:dyDescent="0.5">
      <c r="B129" s="4"/>
      <c r="C129" s="4"/>
      <c r="F129" s="4"/>
      <c r="H129" s="4"/>
    </row>
    <row r="130" spans="2:8" ht="25.5" customHeight="1" x14ac:dyDescent="0.5">
      <c r="B130" s="4"/>
      <c r="C130" s="4"/>
      <c r="F130" s="4"/>
      <c r="H130" s="4"/>
    </row>
    <row r="131" spans="2:8" ht="25.5" customHeight="1" x14ac:dyDescent="0.5">
      <c r="B131" s="4"/>
      <c r="C131" s="4"/>
      <c r="F131" s="4"/>
      <c r="H131" s="4"/>
    </row>
    <row r="132" spans="2:8" ht="25.5" customHeight="1" x14ac:dyDescent="0.5">
      <c r="B132" s="4"/>
      <c r="C132" s="4"/>
      <c r="F132" s="4"/>
      <c r="H132" s="4"/>
    </row>
    <row r="133" spans="2:8" ht="25.5" customHeight="1" x14ac:dyDescent="0.5">
      <c r="B133" s="4"/>
      <c r="C133" s="4"/>
      <c r="F133" s="4"/>
      <c r="H133" s="4"/>
    </row>
    <row r="134" spans="2:8" ht="25.5" customHeight="1" x14ac:dyDescent="0.5">
      <c r="B134" s="4"/>
      <c r="C134" s="4"/>
      <c r="F134" s="4"/>
      <c r="H134" s="4"/>
    </row>
    <row r="135" spans="2:8" ht="25.5" customHeight="1" x14ac:dyDescent="0.5">
      <c r="B135" s="4"/>
      <c r="C135" s="4"/>
      <c r="F135" s="4"/>
      <c r="H135" s="4"/>
    </row>
    <row r="136" spans="2:8" ht="25.5" customHeight="1" x14ac:dyDescent="0.5">
      <c r="B136" s="4"/>
      <c r="C136" s="4"/>
      <c r="F136" s="4"/>
      <c r="H136" s="4"/>
    </row>
    <row r="137" spans="2:8" ht="25.5" customHeight="1" x14ac:dyDescent="0.5">
      <c r="B137" s="4"/>
      <c r="C137" s="4"/>
      <c r="F137" s="4"/>
      <c r="H137" s="4"/>
    </row>
    <row r="138" spans="2:8" ht="25.5" customHeight="1" x14ac:dyDescent="0.5">
      <c r="B138" s="4"/>
      <c r="C138" s="4"/>
      <c r="F138" s="4"/>
      <c r="H138" s="4"/>
    </row>
    <row r="139" spans="2:8" ht="25.5" customHeight="1" x14ac:dyDescent="0.5">
      <c r="B139" s="4"/>
      <c r="C139" s="4"/>
      <c r="F139" s="4"/>
      <c r="H139" s="4"/>
    </row>
    <row r="140" spans="2:8" ht="25.5" customHeight="1" x14ac:dyDescent="0.5">
      <c r="B140" s="4"/>
      <c r="C140" s="4"/>
      <c r="F140" s="4"/>
      <c r="H140" s="4"/>
    </row>
    <row r="141" spans="2:8" ht="25.5" customHeight="1" x14ac:dyDescent="0.5">
      <c r="B141" s="4"/>
      <c r="C141" s="4"/>
      <c r="F141" s="4"/>
      <c r="H141" s="4"/>
    </row>
    <row r="142" spans="2:8" ht="25.5" customHeight="1" x14ac:dyDescent="0.5">
      <c r="B142" s="4"/>
      <c r="C142" s="4"/>
      <c r="F142" s="4"/>
      <c r="H142" s="4"/>
    </row>
    <row r="143" spans="2:8" ht="25.5" customHeight="1" x14ac:dyDescent="0.5">
      <c r="B143" s="4"/>
      <c r="C143" s="4"/>
      <c r="F143" s="4"/>
      <c r="H143" s="4"/>
    </row>
    <row r="144" spans="2:8" ht="25.5" customHeight="1" x14ac:dyDescent="0.5">
      <c r="B144" s="4"/>
      <c r="C144" s="4"/>
      <c r="F144" s="4"/>
      <c r="H144" s="4"/>
    </row>
    <row r="145" spans="2:8" ht="25.5" customHeight="1" x14ac:dyDescent="0.5">
      <c r="B145" s="4"/>
      <c r="C145" s="4"/>
      <c r="F145" s="4"/>
      <c r="H145" s="4"/>
    </row>
    <row r="146" spans="2:8" ht="25.5" customHeight="1" x14ac:dyDescent="0.5">
      <c r="B146" s="4"/>
      <c r="C146" s="4"/>
      <c r="F146" s="4"/>
      <c r="H146" s="4"/>
    </row>
    <row r="147" spans="2:8" ht="25.5" customHeight="1" x14ac:dyDescent="0.5">
      <c r="B147" s="4"/>
      <c r="C147" s="4"/>
      <c r="F147" s="4"/>
      <c r="H147" s="4"/>
    </row>
    <row r="148" spans="2:8" ht="25.5" customHeight="1" x14ac:dyDescent="0.5">
      <c r="B148" s="4"/>
      <c r="C148" s="4"/>
      <c r="F148" s="4"/>
      <c r="H148" s="4"/>
    </row>
    <row r="149" spans="2:8" ht="25.5" customHeight="1" x14ac:dyDescent="0.5">
      <c r="B149" s="4"/>
      <c r="C149" s="4"/>
      <c r="F149" s="4"/>
      <c r="H149" s="4"/>
    </row>
    <row r="150" spans="2:8" ht="25.5" customHeight="1" x14ac:dyDescent="0.5">
      <c r="B150" s="4"/>
      <c r="C150" s="4"/>
      <c r="F150" s="4"/>
      <c r="H150" s="4"/>
    </row>
    <row r="151" spans="2:8" ht="25.5" customHeight="1" x14ac:dyDescent="0.5">
      <c r="B151" s="4"/>
      <c r="C151" s="4"/>
      <c r="F151" s="4"/>
      <c r="H151" s="4"/>
    </row>
    <row r="152" spans="2:8" ht="25.5" customHeight="1" x14ac:dyDescent="0.5">
      <c r="B152" s="4"/>
      <c r="C152" s="4"/>
      <c r="F152" s="4"/>
      <c r="H152" s="4"/>
    </row>
    <row r="153" spans="2:8" ht="25.5" customHeight="1" x14ac:dyDescent="0.5">
      <c r="B153" s="4"/>
      <c r="C153" s="4"/>
      <c r="F153" s="4"/>
      <c r="H153" s="4"/>
    </row>
    <row r="154" spans="2:8" ht="25.5" customHeight="1" x14ac:dyDescent="0.5">
      <c r="B154" s="4"/>
      <c r="C154" s="4"/>
      <c r="F154" s="4"/>
      <c r="H154" s="4"/>
    </row>
    <row r="155" spans="2:8" ht="25.5" customHeight="1" x14ac:dyDescent="0.5">
      <c r="B155" s="4"/>
      <c r="C155" s="4"/>
      <c r="F155" s="4"/>
      <c r="H155" s="4"/>
    </row>
    <row r="156" spans="2:8" ht="25.5" customHeight="1" x14ac:dyDescent="0.5">
      <c r="B156" s="4"/>
      <c r="C156" s="4"/>
      <c r="F156" s="4"/>
      <c r="H156" s="4"/>
    </row>
    <row r="157" spans="2:8" ht="25.5" customHeight="1" x14ac:dyDescent="0.5">
      <c r="B157" s="4"/>
      <c r="C157" s="4"/>
      <c r="F157" s="4"/>
      <c r="H157" s="4"/>
    </row>
    <row r="158" spans="2:8" ht="25.5" customHeight="1" x14ac:dyDescent="0.5">
      <c r="B158" s="4"/>
      <c r="C158" s="4"/>
      <c r="F158" s="4"/>
      <c r="H158" s="4"/>
    </row>
    <row r="159" spans="2:8" ht="25.5" customHeight="1" x14ac:dyDescent="0.5">
      <c r="B159" s="4"/>
      <c r="C159" s="4"/>
      <c r="F159" s="4"/>
      <c r="H159" s="4"/>
    </row>
    <row r="160" spans="2:8" ht="25.5" customHeight="1" x14ac:dyDescent="0.5">
      <c r="B160" s="4"/>
      <c r="C160" s="4"/>
      <c r="F160" s="4"/>
      <c r="H160" s="4"/>
    </row>
    <row r="161" spans="2:8" ht="25.5" customHeight="1" x14ac:dyDescent="0.5">
      <c r="B161" s="4"/>
      <c r="C161" s="4"/>
      <c r="F161" s="4"/>
      <c r="H161" s="4"/>
    </row>
    <row r="162" spans="2:8" ht="25.5" customHeight="1" x14ac:dyDescent="0.5">
      <c r="B162" s="4"/>
      <c r="C162" s="4"/>
      <c r="F162" s="4"/>
      <c r="H162" s="4"/>
    </row>
    <row r="163" spans="2:8" ht="25.5" customHeight="1" x14ac:dyDescent="0.5">
      <c r="B163" s="4"/>
      <c r="C163" s="4"/>
      <c r="F163" s="4"/>
      <c r="H163" s="4"/>
    </row>
    <row r="164" spans="2:8" ht="25.5" customHeight="1" x14ac:dyDescent="0.5">
      <c r="B164" s="4"/>
      <c r="C164" s="4"/>
      <c r="F164" s="4"/>
      <c r="H164" s="4"/>
    </row>
    <row r="165" spans="2:8" ht="25.5" customHeight="1" x14ac:dyDescent="0.5">
      <c r="B165" s="4"/>
      <c r="C165" s="4"/>
      <c r="F165" s="4"/>
      <c r="H165" s="4"/>
    </row>
    <row r="166" spans="2:8" ht="25.5" customHeight="1" x14ac:dyDescent="0.5">
      <c r="B166" s="4"/>
      <c r="C166" s="4"/>
      <c r="F166" s="4"/>
      <c r="H166" s="4"/>
    </row>
    <row r="167" spans="2:8" ht="25.5" customHeight="1" x14ac:dyDescent="0.5">
      <c r="B167" s="4"/>
      <c r="C167" s="4"/>
      <c r="F167" s="4"/>
      <c r="H167" s="4"/>
    </row>
    <row r="168" spans="2:8" ht="25.5" customHeight="1" x14ac:dyDescent="0.5">
      <c r="B168" s="4"/>
      <c r="C168" s="4"/>
      <c r="F168" s="4"/>
      <c r="H168" s="4"/>
    </row>
    <row r="169" spans="2:8" ht="25.5" customHeight="1" x14ac:dyDescent="0.5">
      <c r="B169" s="4"/>
      <c r="C169" s="4"/>
      <c r="F169" s="4"/>
      <c r="H169" s="4"/>
    </row>
    <row r="170" spans="2:8" ht="25.5" customHeight="1" x14ac:dyDescent="0.5">
      <c r="B170" s="4"/>
      <c r="C170" s="4"/>
      <c r="F170" s="4"/>
      <c r="H170" s="4"/>
    </row>
    <row r="171" spans="2:8" ht="25.5" customHeight="1" x14ac:dyDescent="0.5">
      <c r="B171" s="4"/>
      <c r="C171" s="4"/>
      <c r="F171" s="4"/>
      <c r="H171" s="4"/>
    </row>
    <row r="172" spans="2:8" ht="25.5" customHeight="1" x14ac:dyDescent="0.5">
      <c r="B172" s="4"/>
      <c r="C172" s="4"/>
      <c r="F172" s="4"/>
      <c r="H172" s="4"/>
    </row>
    <row r="173" spans="2:8" ht="25.5" customHeight="1" x14ac:dyDescent="0.5">
      <c r="B173" s="4"/>
      <c r="C173" s="4"/>
      <c r="F173" s="4"/>
      <c r="H173" s="4"/>
    </row>
    <row r="174" spans="2:8" ht="25.5" customHeight="1" x14ac:dyDescent="0.5">
      <c r="B174" s="4"/>
      <c r="C174" s="4"/>
      <c r="F174" s="4"/>
      <c r="H174" s="4"/>
    </row>
    <row r="175" spans="2:8" ht="25.5" customHeight="1" x14ac:dyDescent="0.5">
      <c r="B175" s="4"/>
      <c r="C175" s="4"/>
      <c r="F175" s="4"/>
      <c r="H175" s="4"/>
    </row>
    <row r="176" spans="2:8" ht="25.5" customHeight="1" x14ac:dyDescent="0.5">
      <c r="B176" s="4"/>
      <c r="C176" s="4"/>
      <c r="F176" s="4"/>
      <c r="H176" s="4"/>
    </row>
    <row r="177" spans="2:8" ht="25.5" customHeight="1" x14ac:dyDescent="0.5">
      <c r="B177" s="4"/>
      <c r="C177" s="4"/>
      <c r="F177" s="4"/>
      <c r="H177" s="4"/>
    </row>
    <row r="178" spans="2:8" ht="25.5" customHeight="1" x14ac:dyDescent="0.5">
      <c r="B178" s="4"/>
      <c r="C178" s="4"/>
      <c r="F178" s="4"/>
      <c r="H178" s="4"/>
    </row>
    <row r="179" spans="2:8" ht="25.5" customHeight="1" x14ac:dyDescent="0.5">
      <c r="B179" s="4"/>
      <c r="C179" s="4"/>
      <c r="F179" s="4"/>
      <c r="H179" s="4"/>
    </row>
    <row r="180" spans="2:8" ht="25.5" customHeight="1" x14ac:dyDescent="0.5">
      <c r="B180" s="4"/>
      <c r="C180" s="4"/>
      <c r="F180" s="4"/>
      <c r="H180" s="4"/>
    </row>
    <row r="181" spans="2:8" ht="25.5" customHeight="1" x14ac:dyDescent="0.5">
      <c r="B181" s="4"/>
      <c r="C181" s="4"/>
      <c r="F181" s="4"/>
      <c r="H181" s="4"/>
    </row>
    <row r="182" spans="2:8" ht="25.5" customHeight="1" x14ac:dyDescent="0.5">
      <c r="B182" s="4"/>
      <c r="C182" s="4"/>
      <c r="F182" s="4"/>
      <c r="H182" s="4"/>
    </row>
    <row r="183" spans="2:8" ht="25.5" customHeight="1" x14ac:dyDescent="0.5">
      <c r="B183" s="4"/>
      <c r="C183" s="4"/>
      <c r="F183" s="4"/>
      <c r="H183" s="4"/>
    </row>
    <row r="184" spans="2:8" ht="25.5" customHeight="1" x14ac:dyDescent="0.5">
      <c r="B184" s="4"/>
      <c r="C184" s="4"/>
      <c r="F184" s="4"/>
      <c r="H184" s="4"/>
    </row>
    <row r="185" spans="2:8" ht="25.5" customHeight="1" x14ac:dyDescent="0.5">
      <c r="B185" s="4"/>
      <c r="C185" s="4"/>
      <c r="F185" s="4"/>
      <c r="H185" s="4"/>
    </row>
    <row r="186" spans="2:8" ht="25.5" customHeight="1" x14ac:dyDescent="0.5">
      <c r="B186" s="4"/>
      <c r="C186" s="4"/>
      <c r="F186" s="4"/>
      <c r="H186" s="4"/>
    </row>
    <row r="187" spans="2:8" ht="25.5" customHeight="1" x14ac:dyDescent="0.5">
      <c r="B187" s="4"/>
      <c r="C187" s="4"/>
      <c r="F187" s="4"/>
      <c r="H187" s="4"/>
    </row>
    <row r="188" spans="2:8" ht="25.5" customHeight="1" x14ac:dyDescent="0.5">
      <c r="B188" s="4"/>
      <c r="C188" s="4"/>
      <c r="F188" s="4"/>
      <c r="H188" s="4"/>
    </row>
    <row r="189" spans="2:8" ht="25.5" customHeight="1" x14ac:dyDescent="0.5">
      <c r="B189" s="4"/>
      <c r="C189" s="4"/>
      <c r="F189" s="4"/>
      <c r="H189" s="4"/>
    </row>
    <row r="190" spans="2:8" ht="25.5" customHeight="1" x14ac:dyDescent="0.5">
      <c r="B190" s="4"/>
      <c r="C190" s="4"/>
      <c r="F190" s="4"/>
      <c r="H190" s="4"/>
    </row>
    <row r="191" spans="2:8" ht="25.5" customHeight="1" x14ac:dyDescent="0.5">
      <c r="B191" s="4"/>
      <c r="C191" s="4"/>
      <c r="F191" s="4"/>
      <c r="H191" s="4"/>
    </row>
    <row r="192" spans="2:8" ht="25.5" customHeight="1" x14ac:dyDescent="0.5">
      <c r="B192" s="4"/>
      <c r="C192" s="4"/>
      <c r="F192" s="4"/>
      <c r="H192" s="4"/>
    </row>
    <row r="193" spans="2:8" ht="25.5" customHeight="1" x14ac:dyDescent="0.5">
      <c r="B193" s="4"/>
      <c r="C193" s="4"/>
      <c r="F193" s="4"/>
      <c r="H193" s="4"/>
    </row>
    <row r="194" spans="2:8" ht="25.5" customHeight="1" x14ac:dyDescent="0.5">
      <c r="B194" s="4"/>
      <c r="C194" s="4"/>
      <c r="F194" s="4"/>
      <c r="H194" s="4"/>
    </row>
    <row r="195" spans="2:8" ht="25.5" customHeight="1" x14ac:dyDescent="0.5">
      <c r="B195" s="4"/>
      <c r="C195" s="4"/>
      <c r="F195" s="4"/>
      <c r="H195" s="4"/>
    </row>
    <row r="196" spans="2:8" ht="25.5" customHeight="1" x14ac:dyDescent="0.5">
      <c r="B196" s="4"/>
      <c r="C196" s="4"/>
      <c r="F196" s="4"/>
      <c r="H196" s="4"/>
    </row>
    <row r="197" spans="2:8" ht="25.5" customHeight="1" x14ac:dyDescent="0.5">
      <c r="B197" s="4"/>
      <c r="C197" s="4"/>
      <c r="F197" s="4"/>
      <c r="H197" s="4"/>
    </row>
    <row r="198" spans="2:8" ht="25.5" customHeight="1" x14ac:dyDescent="0.5">
      <c r="B198" s="4"/>
      <c r="C198" s="4"/>
      <c r="F198" s="4"/>
      <c r="H198" s="4"/>
    </row>
    <row r="199" spans="2:8" ht="25.5" customHeight="1" x14ac:dyDescent="0.5">
      <c r="B199" s="4"/>
      <c r="C199" s="4"/>
      <c r="F199" s="4"/>
      <c r="H199" s="4"/>
    </row>
    <row r="200" spans="2:8" ht="25.5" customHeight="1" x14ac:dyDescent="0.5">
      <c r="B200" s="4"/>
      <c r="C200" s="4"/>
      <c r="F200" s="4"/>
      <c r="H200" s="4"/>
    </row>
    <row r="201" spans="2:8" ht="25.5" customHeight="1" x14ac:dyDescent="0.5">
      <c r="B201" s="4"/>
      <c r="C201" s="4"/>
      <c r="F201" s="4"/>
      <c r="H201" s="4"/>
    </row>
    <row r="202" spans="2:8" ht="25.5" customHeight="1" x14ac:dyDescent="0.5">
      <c r="B202" s="4"/>
      <c r="C202" s="4"/>
      <c r="F202" s="4"/>
      <c r="H202" s="4"/>
    </row>
    <row r="203" spans="2:8" ht="25.5" customHeight="1" x14ac:dyDescent="0.5">
      <c r="B203" s="4"/>
      <c r="C203" s="4"/>
      <c r="F203" s="4"/>
      <c r="H203" s="4"/>
    </row>
    <row r="204" spans="2:8" ht="25.5" customHeight="1" x14ac:dyDescent="0.5">
      <c r="B204" s="4"/>
      <c r="C204" s="4"/>
      <c r="F204" s="4"/>
      <c r="H204" s="4"/>
    </row>
    <row r="205" spans="2:8" ht="25.5" customHeight="1" x14ac:dyDescent="0.5">
      <c r="B205" s="4"/>
      <c r="C205" s="4"/>
      <c r="F205" s="4"/>
      <c r="H205" s="4"/>
    </row>
    <row r="206" spans="2:8" ht="25.5" customHeight="1" x14ac:dyDescent="0.5">
      <c r="B206" s="4"/>
      <c r="C206" s="4"/>
      <c r="F206" s="4"/>
      <c r="H206" s="4"/>
    </row>
    <row r="207" spans="2:8" ht="25.5" customHeight="1" x14ac:dyDescent="0.5">
      <c r="B207" s="4"/>
      <c r="C207" s="4"/>
      <c r="F207" s="4"/>
      <c r="H207" s="4"/>
    </row>
    <row r="208" spans="2:8" ht="25.5" customHeight="1" x14ac:dyDescent="0.5">
      <c r="B208" s="4"/>
      <c r="C208" s="4"/>
      <c r="F208" s="4"/>
      <c r="H208" s="4"/>
    </row>
    <row r="209" spans="2:8" ht="25.5" customHeight="1" x14ac:dyDescent="0.5">
      <c r="B209" s="4"/>
      <c r="C209" s="4"/>
      <c r="F209" s="4"/>
      <c r="H209" s="4"/>
    </row>
    <row r="210" spans="2:8" ht="25.5" customHeight="1" x14ac:dyDescent="0.5">
      <c r="B210" s="4"/>
      <c r="C210" s="4"/>
      <c r="F210" s="4"/>
      <c r="H210" s="4"/>
    </row>
    <row r="211" spans="2:8" ht="25.5" customHeight="1" x14ac:dyDescent="0.5">
      <c r="B211" s="4"/>
      <c r="C211" s="4"/>
      <c r="F211" s="4"/>
      <c r="H211" s="4"/>
    </row>
    <row r="212" spans="2:8" ht="25.5" customHeight="1" x14ac:dyDescent="0.5">
      <c r="B212" s="4"/>
      <c r="C212" s="4"/>
      <c r="F212" s="4"/>
      <c r="H212" s="4"/>
    </row>
    <row r="213" spans="2:8" ht="25.5" customHeight="1" x14ac:dyDescent="0.5">
      <c r="B213" s="4"/>
      <c r="C213" s="4"/>
      <c r="F213" s="4"/>
      <c r="H213" s="4"/>
    </row>
    <row r="214" spans="2:8" ht="25.5" customHeight="1" x14ac:dyDescent="0.5">
      <c r="B214" s="4"/>
      <c r="C214" s="4"/>
      <c r="F214" s="4"/>
      <c r="H214" s="4"/>
    </row>
    <row r="215" spans="2:8" ht="25.5" customHeight="1" x14ac:dyDescent="0.5">
      <c r="B215" s="4"/>
      <c r="C215" s="4"/>
      <c r="F215" s="4"/>
      <c r="H215" s="4"/>
    </row>
    <row r="216" spans="2:8" ht="25.5" customHeight="1" x14ac:dyDescent="0.5">
      <c r="B216" s="4"/>
      <c r="C216" s="4"/>
      <c r="F216" s="4"/>
      <c r="H216" s="4"/>
    </row>
    <row r="217" spans="2:8" ht="25.5" customHeight="1" x14ac:dyDescent="0.5">
      <c r="B217" s="4"/>
      <c r="C217" s="4"/>
      <c r="F217" s="4"/>
      <c r="H217" s="4"/>
    </row>
    <row r="218" spans="2:8" ht="25.5" customHeight="1" x14ac:dyDescent="0.5">
      <c r="B218" s="4"/>
      <c r="C218" s="4"/>
      <c r="F218" s="4"/>
      <c r="H218" s="4"/>
    </row>
    <row r="219" spans="2:8" ht="25.5" customHeight="1" x14ac:dyDescent="0.5">
      <c r="B219" s="4"/>
      <c r="C219" s="4"/>
      <c r="F219" s="4"/>
      <c r="H219" s="4"/>
    </row>
    <row r="220" spans="2:8" ht="25.5" customHeight="1" x14ac:dyDescent="0.5">
      <c r="B220" s="4"/>
      <c r="C220" s="4"/>
      <c r="F220" s="4"/>
      <c r="H220" s="4"/>
    </row>
    <row r="221" spans="2:8" ht="25.5" customHeight="1" x14ac:dyDescent="0.5">
      <c r="B221" s="4"/>
      <c r="C221" s="4"/>
      <c r="F221" s="4"/>
      <c r="H221" s="4"/>
    </row>
    <row r="222" spans="2:8" ht="25.5" customHeight="1" x14ac:dyDescent="0.5">
      <c r="B222" s="4"/>
      <c r="C222" s="4"/>
      <c r="F222" s="4"/>
      <c r="H222" s="4"/>
    </row>
    <row r="223" spans="2:8" ht="25.5" customHeight="1" x14ac:dyDescent="0.5">
      <c r="B223" s="4"/>
      <c r="C223" s="4"/>
      <c r="F223" s="4"/>
      <c r="H223" s="4"/>
    </row>
    <row r="224" spans="2:8" ht="25.5" customHeight="1" x14ac:dyDescent="0.5">
      <c r="B224" s="4"/>
      <c r="C224" s="4"/>
      <c r="F224" s="4"/>
      <c r="H224" s="4"/>
    </row>
    <row r="225" spans="2:8" ht="25.5" customHeight="1" x14ac:dyDescent="0.5">
      <c r="B225" s="4"/>
      <c r="C225" s="4"/>
      <c r="F225" s="4"/>
      <c r="H225" s="4"/>
    </row>
    <row r="226" spans="2:8" ht="25.5" customHeight="1" x14ac:dyDescent="0.5">
      <c r="B226" s="4"/>
      <c r="C226" s="4"/>
      <c r="F226" s="4"/>
      <c r="H226" s="4"/>
    </row>
    <row r="227" spans="2:8" ht="25.5" customHeight="1" x14ac:dyDescent="0.5">
      <c r="B227" s="4"/>
      <c r="C227" s="4"/>
      <c r="F227" s="4"/>
      <c r="H227" s="4"/>
    </row>
    <row r="228" spans="2:8" ht="25.5" customHeight="1" x14ac:dyDescent="0.5">
      <c r="B228" s="4"/>
      <c r="C228" s="4"/>
      <c r="F228" s="4"/>
      <c r="H228" s="4"/>
    </row>
    <row r="229" spans="2:8" ht="25.5" customHeight="1" x14ac:dyDescent="0.5">
      <c r="B229" s="4"/>
      <c r="C229" s="4"/>
      <c r="F229" s="4"/>
      <c r="H229" s="4"/>
    </row>
    <row r="230" spans="2:8" ht="25.5" customHeight="1" x14ac:dyDescent="0.5">
      <c r="B230" s="4"/>
      <c r="C230" s="4"/>
      <c r="F230" s="4"/>
      <c r="H230" s="4"/>
    </row>
    <row r="231" spans="2:8" ht="25.5" customHeight="1" x14ac:dyDescent="0.5">
      <c r="B231" s="4"/>
      <c r="C231" s="4"/>
      <c r="F231" s="4"/>
      <c r="H231" s="4"/>
    </row>
    <row r="232" spans="2:8" ht="25.5" customHeight="1" x14ac:dyDescent="0.5">
      <c r="B232" s="4"/>
      <c r="C232" s="4"/>
      <c r="F232" s="4"/>
      <c r="H232" s="4"/>
    </row>
    <row r="233" spans="2:8" ht="25.5" customHeight="1" x14ac:dyDescent="0.5">
      <c r="B233" s="4"/>
      <c r="C233" s="4"/>
      <c r="F233" s="4"/>
      <c r="H233" s="4"/>
    </row>
    <row r="234" spans="2:8" ht="25.5" customHeight="1" x14ac:dyDescent="0.5">
      <c r="B234" s="4"/>
      <c r="C234" s="4"/>
      <c r="F234" s="4"/>
      <c r="H234" s="4"/>
    </row>
    <row r="235" spans="2:8" ht="25.5" customHeight="1" x14ac:dyDescent="0.5">
      <c r="B235" s="4"/>
      <c r="C235" s="4"/>
      <c r="F235" s="4"/>
      <c r="H235" s="4"/>
    </row>
    <row r="236" spans="2:8" ht="25.5" customHeight="1" x14ac:dyDescent="0.5">
      <c r="B236" s="4"/>
      <c r="C236" s="4"/>
      <c r="F236" s="4"/>
      <c r="H236" s="4"/>
    </row>
    <row r="237" spans="2:8" ht="25.5" customHeight="1" x14ac:dyDescent="0.5">
      <c r="B237" s="4"/>
      <c r="C237" s="4"/>
      <c r="F237" s="4"/>
      <c r="H237" s="4"/>
    </row>
    <row r="238" spans="2:8" ht="25.5" customHeight="1" x14ac:dyDescent="0.5">
      <c r="B238" s="4"/>
      <c r="C238" s="4"/>
      <c r="F238" s="4"/>
      <c r="H238" s="4"/>
    </row>
    <row r="239" spans="2:8" ht="25.5" customHeight="1" x14ac:dyDescent="0.5">
      <c r="B239" s="4"/>
      <c r="C239" s="4"/>
      <c r="F239" s="4"/>
      <c r="H239" s="4"/>
    </row>
    <row r="240" spans="2:8" ht="25.5" customHeight="1" x14ac:dyDescent="0.5">
      <c r="B240" s="4"/>
      <c r="C240" s="4"/>
      <c r="F240" s="4"/>
      <c r="H240" s="4"/>
    </row>
    <row r="241" spans="2:8" ht="25.5" customHeight="1" x14ac:dyDescent="0.5">
      <c r="B241" s="4"/>
      <c r="C241" s="4"/>
      <c r="F241" s="4"/>
      <c r="H241" s="4"/>
    </row>
    <row r="242" spans="2:8" ht="25.5" customHeight="1" x14ac:dyDescent="0.5">
      <c r="B242" s="4"/>
      <c r="C242" s="4"/>
      <c r="F242" s="4"/>
      <c r="H242" s="4"/>
    </row>
    <row r="243" spans="2:8" ht="25.5" customHeight="1" x14ac:dyDescent="0.5">
      <c r="B243" s="4"/>
      <c r="C243" s="4"/>
      <c r="F243" s="4"/>
      <c r="H243" s="4"/>
    </row>
    <row r="244" spans="2:8" ht="25.5" customHeight="1" x14ac:dyDescent="0.5">
      <c r="B244" s="4"/>
      <c r="C244" s="4"/>
      <c r="F244" s="4"/>
      <c r="H244" s="4"/>
    </row>
    <row r="245" spans="2:8" ht="25.5" customHeight="1" x14ac:dyDescent="0.5">
      <c r="B245" s="4"/>
      <c r="C245" s="4"/>
      <c r="F245" s="4"/>
      <c r="H245" s="4"/>
    </row>
    <row r="246" spans="2:8" ht="25.5" customHeight="1" x14ac:dyDescent="0.5">
      <c r="B246" s="4"/>
      <c r="C246" s="4"/>
      <c r="F246" s="4"/>
      <c r="H246" s="4"/>
    </row>
    <row r="247" spans="2:8" ht="25.5" customHeight="1" x14ac:dyDescent="0.5">
      <c r="B247" s="4"/>
      <c r="C247" s="4"/>
      <c r="F247" s="4"/>
      <c r="H247" s="4"/>
    </row>
    <row r="248" spans="2:8" ht="25.5" customHeight="1" x14ac:dyDescent="0.5">
      <c r="B248" s="4"/>
      <c r="C248" s="4"/>
      <c r="F248" s="4"/>
      <c r="H248" s="4"/>
    </row>
    <row r="249" spans="2:8" ht="25.5" customHeight="1" x14ac:dyDescent="0.5">
      <c r="B249" s="4"/>
      <c r="C249" s="4"/>
      <c r="F249" s="4"/>
      <c r="H249" s="4"/>
    </row>
    <row r="250" spans="2:8" ht="25.5" customHeight="1" x14ac:dyDescent="0.5">
      <c r="B250" s="4"/>
      <c r="C250" s="4"/>
      <c r="F250" s="4"/>
      <c r="H250" s="4"/>
    </row>
    <row r="251" spans="2:8" ht="25.5" customHeight="1" x14ac:dyDescent="0.5">
      <c r="B251" s="4"/>
      <c r="C251" s="4"/>
      <c r="F251" s="4"/>
      <c r="H251" s="4"/>
    </row>
    <row r="252" spans="2:8" ht="25.5" customHeight="1" x14ac:dyDescent="0.5">
      <c r="B252" s="4"/>
      <c r="C252" s="4"/>
      <c r="F252" s="4"/>
      <c r="H252" s="4"/>
    </row>
    <row r="253" spans="2:8" ht="25.5" customHeight="1" x14ac:dyDescent="0.5">
      <c r="B253" s="4"/>
      <c r="C253" s="4"/>
      <c r="F253" s="4"/>
      <c r="H253" s="4"/>
    </row>
    <row r="254" spans="2:8" ht="25.5" customHeight="1" x14ac:dyDescent="0.5">
      <c r="B254" s="4"/>
      <c r="C254" s="4"/>
      <c r="F254" s="4"/>
      <c r="H254" s="4"/>
    </row>
    <row r="255" spans="2:8" ht="25.5" customHeight="1" x14ac:dyDescent="0.5">
      <c r="B255" s="4"/>
      <c r="C255" s="4"/>
      <c r="F255" s="4"/>
      <c r="H255" s="4"/>
    </row>
    <row r="256" spans="2:8" ht="25.5" customHeight="1" x14ac:dyDescent="0.5">
      <c r="B256" s="4"/>
      <c r="C256" s="4"/>
      <c r="F256" s="4"/>
      <c r="H256" s="4"/>
    </row>
    <row r="257" spans="2:8" ht="25.5" customHeight="1" x14ac:dyDescent="0.5">
      <c r="B257" s="4"/>
      <c r="C257" s="4"/>
      <c r="F257" s="4"/>
      <c r="H257" s="4"/>
    </row>
    <row r="258" spans="2:8" ht="25.5" customHeight="1" x14ac:dyDescent="0.5">
      <c r="B258" s="4"/>
      <c r="C258" s="4"/>
      <c r="F258" s="4"/>
      <c r="H258" s="4"/>
    </row>
    <row r="259" spans="2:8" ht="25.5" customHeight="1" x14ac:dyDescent="0.5">
      <c r="B259" s="4"/>
      <c r="C259" s="4"/>
      <c r="F259" s="4"/>
      <c r="H259" s="4"/>
    </row>
    <row r="260" spans="2:8" ht="25.5" customHeight="1" x14ac:dyDescent="0.5">
      <c r="B260" s="4"/>
      <c r="C260" s="4"/>
      <c r="F260" s="4"/>
      <c r="H260" s="4"/>
    </row>
    <row r="261" spans="2:8" ht="25.5" customHeight="1" x14ac:dyDescent="0.5">
      <c r="B261" s="4"/>
      <c r="C261" s="4"/>
      <c r="F261" s="4"/>
      <c r="H261" s="4"/>
    </row>
    <row r="262" spans="2:8" ht="25.5" customHeight="1" x14ac:dyDescent="0.5">
      <c r="B262" s="4"/>
      <c r="C262" s="4"/>
      <c r="F262" s="4"/>
      <c r="H262" s="4"/>
    </row>
    <row r="263" spans="2:8" ht="25.5" customHeight="1" x14ac:dyDescent="0.5">
      <c r="B263" s="4"/>
      <c r="C263" s="4"/>
      <c r="F263" s="4"/>
      <c r="H263" s="4"/>
    </row>
    <row r="264" spans="2:8" ht="25.5" customHeight="1" x14ac:dyDescent="0.5">
      <c r="B264" s="4"/>
      <c r="C264" s="4"/>
      <c r="F264" s="4"/>
      <c r="H264" s="4"/>
    </row>
    <row r="265" spans="2:8" ht="25.5" customHeight="1" x14ac:dyDescent="0.5">
      <c r="B265" s="4"/>
      <c r="C265" s="4"/>
      <c r="F265" s="4"/>
      <c r="H265" s="4"/>
    </row>
    <row r="266" spans="2:8" ht="25.5" customHeight="1" x14ac:dyDescent="0.5">
      <c r="B266" s="4"/>
      <c r="C266" s="4"/>
      <c r="F266" s="4"/>
      <c r="H266" s="4"/>
    </row>
    <row r="267" spans="2:8" ht="25.5" customHeight="1" x14ac:dyDescent="0.5">
      <c r="B267" s="4"/>
      <c r="C267" s="4"/>
      <c r="F267" s="4"/>
      <c r="H267" s="4"/>
    </row>
    <row r="268" spans="2:8" ht="25.5" customHeight="1" x14ac:dyDescent="0.5">
      <c r="B268" s="4"/>
      <c r="C268" s="4"/>
      <c r="F268" s="4"/>
      <c r="H268" s="4"/>
    </row>
    <row r="269" spans="2:8" ht="25.5" customHeight="1" x14ac:dyDescent="0.5">
      <c r="B269" s="4"/>
      <c r="C269" s="4"/>
      <c r="F269" s="4"/>
      <c r="H269" s="4"/>
    </row>
    <row r="270" spans="2:8" ht="25.5" customHeight="1" x14ac:dyDescent="0.5">
      <c r="B270" s="4"/>
      <c r="C270" s="4"/>
      <c r="F270" s="4"/>
      <c r="H270" s="4"/>
    </row>
    <row r="271" spans="2:8" ht="25.5" customHeight="1" x14ac:dyDescent="0.5">
      <c r="B271" s="4"/>
      <c r="C271" s="4"/>
      <c r="F271" s="4"/>
      <c r="H271" s="4"/>
    </row>
    <row r="272" spans="2:8" ht="25.5" customHeight="1" x14ac:dyDescent="0.5">
      <c r="B272" s="4"/>
      <c r="C272" s="4"/>
      <c r="F272" s="4"/>
      <c r="H272" s="4"/>
    </row>
    <row r="273" spans="2:8" ht="25.5" customHeight="1" x14ac:dyDescent="0.5">
      <c r="B273" s="4"/>
      <c r="C273" s="4"/>
      <c r="F273" s="4"/>
      <c r="H273" s="4"/>
    </row>
    <row r="274" spans="2:8" ht="25.5" customHeight="1" x14ac:dyDescent="0.5">
      <c r="B274" s="4"/>
      <c r="C274" s="4"/>
      <c r="F274" s="4"/>
      <c r="H274" s="4"/>
    </row>
    <row r="275" spans="2:8" ht="25.5" customHeight="1" x14ac:dyDescent="0.5">
      <c r="B275" s="4"/>
      <c r="C275" s="4"/>
      <c r="F275" s="4"/>
      <c r="H275" s="4"/>
    </row>
    <row r="276" spans="2:8" ht="25.5" customHeight="1" x14ac:dyDescent="0.5">
      <c r="B276" s="4"/>
      <c r="C276" s="4"/>
      <c r="F276" s="4"/>
      <c r="H276" s="4"/>
    </row>
    <row r="277" spans="2:8" ht="25.5" customHeight="1" x14ac:dyDescent="0.5">
      <c r="B277" s="4"/>
      <c r="C277" s="4"/>
      <c r="F277" s="4"/>
      <c r="H277" s="4"/>
    </row>
    <row r="278" spans="2:8" ht="25.5" customHeight="1" x14ac:dyDescent="0.5">
      <c r="B278" s="4"/>
      <c r="C278" s="4"/>
      <c r="F278" s="4"/>
      <c r="H278" s="4"/>
    </row>
    <row r="279" spans="2:8" ht="25.5" customHeight="1" x14ac:dyDescent="0.5">
      <c r="B279" s="4"/>
      <c r="C279" s="4"/>
      <c r="F279" s="4"/>
      <c r="H279" s="4"/>
    </row>
    <row r="280" spans="2:8" ht="25.5" customHeight="1" x14ac:dyDescent="0.5">
      <c r="B280" s="4"/>
      <c r="C280" s="4"/>
      <c r="F280" s="4"/>
      <c r="H280" s="4"/>
    </row>
    <row r="281" spans="2:8" ht="25.5" customHeight="1" x14ac:dyDescent="0.5">
      <c r="B281" s="4"/>
      <c r="C281" s="4"/>
      <c r="F281" s="4"/>
      <c r="H281" s="4"/>
    </row>
    <row r="282" spans="2:8" ht="25.5" customHeight="1" x14ac:dyDescent="0.5">
      <c r="B282" s="4"/>
      <c r="C282" s="4"/>
      <c r="F282" s="4"/>
      <c r="H282" s="4"/>
    </row>
    <row r="283" spans="2:8" ht="25.5" customHeight="1" x14ac:dyDescent="0.5">
      <c r="B283" s="4"/>
      <c r="C283" s="4"/>
      <c r="F283" s="4"/>
      <c r="H283" s="4"/>
    </row>
    <row r="284" spans="2:8" ht="25.5" customHeight="1" x14ac:dyDescent="0.5">
      <c r="B284" s="4"/>
      <c r="C284" s="4"/>
      <c r="F284" s="4"/>
      <c r="H284" s="4"/>
    </row>
    <row r="285" spans="2:8" ht="25.5" customHeight="1" x14ac:dyDescent="0.5">
      <c r="B285" s="4"/>
      <c r="C285" s="4"/>
      <c r="F285" s="4"/>
      <c r="H285" s="4"/>
    </row>
    <row r="286" spans="2:8" ht="25.5" customHeight="1" x14ac:dyDescent="0.5">
      <c r="B286" s="4"/>
      <c r="C286" s="4"/>
      <c r="F286" s="4"/>
      <c r="H286" s="4"/>
    </row>
    <row r="287" spans="2:8" ht="25.5" customHeight="1" x14ac:dyDescent="0.5">
      <c r="B287" s="4"/>
      <c r="C287" s="4"/>
      <c r="F287" s="4"/>
      <c r="H287" s="4"/>
    </row>
    <row r="288" spans="2:8" ht="25.5" customHeight="1" x14ac:dyDescent="0.5">
      <c r="B288" s="4"/>
      <c r="C288" s="4"/>
      <c r="F288" s="4"/>
      <c r="H288" s="4"/>
    </row>
    <row r="289" spans="2:8" ht="25.5" customHeight="1" x14ac:dyDescent="0.5">
      <c r="B289" s="4"/>
      <c r="C289" s="4"/>
      <c r="F289" s="4"/>
      <c r="H289" s="4"/>
    </row>
    <row r="290" spans="2:8" ht="25.5" customHeight="1" x14ac:dyDescent="0.5">
      <c r="B290" s="4"/>
      <c r="C290" s="4"/>
      <c r="F290" s="4"/>
      <c r="H290" s="4"/>
    </row>
    <row r="291" spans="2:8" ht="25.5" customHeight="1" x14ac:dyDescent="0.5">
      <c r="B291" s="4"/>
      <c r="C291" s="4"/>
      <c r="F291" s="4"/>
      <c r="H291" s="4"/>
    </row>
    <row r="292" spans="2:8" ht="25.5" customHeight="1" x14ac:dyDescent="0.5">
      <c r="B292" s="4"/>
      <c r="C292" s="4"/>
      <c r="F292" s="4"/>
      <c r="H292" s="4"/>
    </row>
    <row r="293" spans="2:8" ht="25.5" customHeight="1" x14ac:dyDescent="0.5">
      <c r="B293" s="4"/>
      <c r="C293" s="4"/>
      <c r="F293" s="4"/>
      <c r="H293" s="4"/>
    </row>
    <row r="294" spans="2:8" ht="25.5" customHeight="1" x14ac:dyDescent="0.5">
      <c r="B294" s="4"/>
      <c r="C294" s="4"/>
      <c r="F294" s="4"/>
      <c r="H294" s="4"/>
    </row>
    <row r="295" spans="2:8" ht="25.5" customHeight="1" x14ac:dyDescent="0.5">
      <c r="B295" s="4"/>
      <c r="C295" s="4"/>
      <c r="F295" s="4"/>
      <c r="H295" s="4"/>
    </row>
    <row r="296" spans="2:8" ht="25.5" customHeight="1" x14ac:dyDescent="0.5">
      <c r="B296" s="4"/>
      <c r="C296" s="4"/>
      <c r="F296" s="4"/>
      <c r="H296" s="4"/>
    </row>
    <row r="297" spans="2:8" ht="25.5" customHeight="1" x14ac:dyDescent="0.5">
      <c r="B297" s="4"/>
      <c r="C297" s="4"/>
      <c r="F297" s="4"/>
      <c r="H297" s="4"/>
    </row>
    <row r="298" spans="2:8" ht="25.5" customHeight="1" x14ac:dyDescent="0.5">
      <c r="B298" s="4"/>
      <c r="C298" s="4"/>
      <c r="F298" s="4"/>
      <c r="H298" s="4"/>
    </row>
    <row r="299" spans="2:8" ht="25.5" customHeight="1" x14ac:dyDescent="0.5">
      <c r="B299" s="4"/>
      <c r="C299" s="4"/>
      <c r="F299" s="4"/>
      <c r="H299" s="4"/>
    </row>
    <row r="300" spans="2:8" ht="25.5" customHeight="1" x14ac:dyDescent="0.5">
      <c r="B300" s="4"/>
      <c r="C300" s="4"/>
      <c r="F300" s="4"/>
      <c r="H300" s="4"/>
    </row>
    <row r="301" spans="2:8" ht="25.5" customHeight="1" x14ac:dyDescent="0.5">
      <c r="B301" s="4"/>
      <c r="C301" s="4"/>
      <c r="F301" s="4"/>
      <c r="H301" s="4"/>
    </row>
    <row r="302" spans="2:8" ht="25.5" customHeight="1" x14ac:dyDescent="0.5">
      <c r="B302" s="4"/>
      <c r="C302" s="4"/>
      <c r="F302" s="4"/>
      <c r="H302" s="4"/>
    </row>
    <row r="303" spans="2:8" ht="25.5" customHeight="1" x14ac:dyDescent="0.5">
      <c r="B303" s="4"/>
      <c r="C303" s="4"/>
      <c r="F303" s="4"/>
      <c r="H303" s="4"/>
    </row>
    <row r="304" spans="2:8" ht="25.5" customHeight="1" x14ac:dyDescent="0.5">
      <c r="B304" s="4"/>
      <c r="C304" s="4"/>
      <c r="F304" s="4"/>
      <c r="H304" s="4"/>
    </row>
    <row r="305" spans="2:8" ht="25.5" customHeight="1" x14ac:dyDescent="0.5">
      <c r="B305" s="4"/>
      <c r="C305" s="4"/>
      <c r="F305" s="4"/>
      <c r="H305" s="4"/>
    </row>
    <row r="306" spans="2:8" ht="25.5" customHeight="1" x14ac:dyDescent="0.5">
      <c r="B306" s="4"/>
      <c r="C306" s="4"/>
      <c r="F306" s="4"/>
      <c r="H306" s="4"/>
    </row>
    <row r="307" spans="2:8" ht="25.5" customHeight="1" x14ac:dyDescent="0.5">
      <c r="B307" s="4"/>
      <c r="C307" s="4"/>
      <c r="F307" s="4"/>
      <c r="H307" s="4"/>
    </row>
    <row r="308" spans="2:8" ht="25.5" customHeight="1" x14ac:dyDescent="0.5">
      <c r="B308" s="4"/>
      <c r="C308" s="4"/>
      <c r="F308" s="4"/>
      <c r="H308" s="4"/>
    </row>
    <row r="309" spans="2:8" ht="25.5" customHeight="1" x14ac:dyDescent="0.5">
      <c r="B309" s="4"/>
      <c r="C309" s="4"/>
      <c r="F309" s="4"/>
      <c r="H309" s="4"/>
    </row>
    <row r="310" spans="2:8" ht="25.5" customHeight="1" x14ac:dyDescent="0.5">
      <c r="B310" s="4"/>
      <c r="C310" s="4"/>
      <c r="F310" s="4"/>
      <c r="H310" s="4"/>
    </row>
    <row r="311" spans="2:8" ht="25.5" customHeight="1" x14ac:dyDescent="0.5">
      <c r="B311" s="4"/>
      <c r="C311" s="4"/>
      <c r="F311" s="4"/>
      <c r="H311" s="4"/>
    </row>
    <row r="312" spans="2:8" ht="25.5" customHeight="1" x14ac:dyDescent="0.5">
      <c r="B312" s="4"/>
      <c r="C312" s="4"/>
      <c r="F312" s="4"/>
      <c r="H312" s="4"/>
    </row>
    <row r="313" spans="2:8" ht="25.5" customHeight="1" x14ac:dyDescent="0.5">
      <c r="B313" s="4"/>
      <c r="C313" s="4"/>
      <c r="F313" s="4"/>
      <c r="H313" s="4"/>
    </row>
    <row r="314" spans="2:8" ht="25.5" customHeight="1" x14ac:dyDescent="0.5">
      <c r="B314" s="4"/>
      <c r="C314" s="4"/>
      <c r="F314" s="4"/>
      <c r="H314" s="4"/>
    </row>
    <row r="315" spans="2:8" ht="25.5" customHeight="1" x14ac:dyDescent="0.5">
      <c r="B315" s="4"/>
      <c r="C315" s="4"/>
      <c r="F315" s="4"/>
      <c r="H315" s="4"/>
    </row>
    <row r="316" spans="2:8" ht="25.5" customHeight="1" x14ac:dyDescent="0.5">
      <c r="B316" s="4"/>
      <c r="C316" s="4"/>
      <c r="F316" s="4"/>
      <c r="H316" s="4"/>
    </row>
    <row r="317" spans="2:8" ht="25.5" customHeight="1" x14ac:dyDescent="0.5">
      <c r="B317" s="4"/>
      <c r="C317" s="4"/>
      <c r="F317" s="4"/>
      <c r="H317" s="4"/>
    </row>
    <row r="318" spans="2:8" ht="25.5" customHeight="1" x14ac:dyDescent="0.5">
      <c r="B318" s="4"/>
      <c r="C318" s="4"/>
      <c r="F318" s="4"/>
      <c r="H318" s="4"/>
    </row>
    <row r="319" spans="2:8" ht="25.5" customHeight="1" x14ac:dyDescent="0.5">
      <c r="B319" s="4"/>
      <c r="C319" s="4"/>
      <c r="F319" s="4"/>
      <c r="H319" s="4"/>
    </row>
    <row r="320" spans="2:8" ht="25.5" customHeight="1" x14ac:dyDescent="0.5">
      <c r="B320" s="4"/>
      <c r="C320" s="4"/>
      <c r="F320" s="4"/>
      <c r="H320" s="4"/>
    </row>
    <row r="321" spans="2:8" ht="25.5" customHeight="1" x14ac:dyDescent="0.5">
      <c r="B321" s="4"/>
      <c r="C321" s="4"/>
      <c r="F321" s="4"/>
      <c r="H321" s="4"/>
    </row>
    <row r="322" spans="2:8" ht="25.5" customHeight="1" x14ac:dyDescent="0.5">
      <c r="B322" s="4"/>
      <c r="C322" s="4"/>
      <c r="F322" s="4"/>
      <c r="H322" s="4"/>
    </row>
    <row r="323" spans="2:8" ht="25.5" customHeight="1" x14ac:dyDescent="0.5">
      <c r="B323" s="4"/>
      <c r="C323" s="4"/>
      <c r="F323" s="4"/>
      <c r="H323" s="4"/>
    </row>
    <row r="324" spans="2:8" ht="25.5" customHeight="1" x14ac:dyDescent="0.5">
      <c r="B324" s="4"/>
      <c r="C324" s="4"/>
      <c r="F324" s="4"/>
      <c r="H324" s="4"/>
    </row>
    <row r="325" spans="2:8" ht="25.5" customHeight="1" x14ac:dyDescent="0.5">
      <c r="B325" s="4"/>
      <c r="C325" s="4"/>
      <c r="F325" s="4"/>
      <c r="H325" s="4"/>
    </row>
    <row r="326" spans="2:8" ht="25.5" customHeight="1" x14ac:dyDescent="0.5">
      <c r="B326" s="4"/>
      <c r="C326" s="4"/>
      <c r="F326" s="4"/>
      <c r="H326" s="4"/>
    </row>
    <row r="327" spans="2:8" ht="25.5" customHeight="1" x14ac:dyDescent="0.5">
      <c r="B327" s="4"/>
      <c r="C327" s="4"/>
      <c r="F327" s="4"/>
      <c r="H327" s="4"/>
    </row>
    <row r="328" spans="2:8" ht="25.5" customHeight="1" x14ac:dyDescent="0.5">
      <c r="B328" s="4"/>
      <c r="C328" s="4"/>
      <c r="F328" s="4"/>
      <c r="H328" s="4"/>
    </row>
    <row r="329" spans="2:8" ht="25.5" customHeight="1" x14ac:dyDescent="0.5">
      <c r="B329" s="4"/>
      <c r="C329" s="4"/>
      <c r="F329" s="4"/>
      <c r="H329" s="4"/>
    </row>
    <row r="330" spans="2:8" ht="25.5" customHeight="1" x14ac:dyDescent="0.5">
      <c r="B330" s="4"/>
      <c r="C330" s="4"/>
      <c r="F330" s="4"/>
      <c r="H330" s="4"/>
    </row>
    <row r="331" spans="2:8" ht="25.5" customHeight="1" x14ac:dyDescent="0.5">
      <c r="B331" s="4"/>
      <c r="C331" s="4"/>
      <c r="F331" s="4"/>
      <c r="H331" s="4"/>
    </row>
    <row r="332" spans="2:8" ht="25.5" customHeight="1" x14ac:dyDescent="0.5">
      <c r="B332" s="4"/>
      <c r="C332" s="4"/>
      <c r="F332" s="4"/>
      <c r="H332" s="4"/>
    </row>
    <row r="333" spans="2:8" ht="25.5" customHeight="1" x14ac:dyDescent="0.5">
      <c r="B333" s="4"/>
      <c r="C333" s="4"/>
      <c r="F333" s="4"/>
      <c r="H333" s="4"/>
    </row>
    <row r="334" spans="2:8" ht="25.5" customHeight="1" x14ac:dyDescent="0.5">
      <c r="B334" s="4"/>
      <c r="C334" s="4"/>
      <c r="F334" s="4"/>
      <c r="H334" s="4"/>
    </row>
    <row r="335" spans="2:8" ht="25.5" customHeight="1" x14ac:dyDescent="0.5">
      <c r="B335" s="4"/>
      <c r="C335" s="4"/>
      <c r="F335" s="4"/>
      <c r="H335" s="4"/>
    </row>
    <row r="336" spans="2:8" ht="25.5" customHeight="1" x14ac:dyDescent="0.5">
      <c r="B336" s="4"/>
      <c r="C336" s="4"/>
      <c r="F336" s="4"/>
      <c r="H336" s="4"/>
    </row>
    <row r="337" spans="2:8" ht="25.5" customHeight="1" x14ac:dyDescent="0.5">
      <c r="B337" s="4"/>
      <c r="C337" s="4"/>
      <c r="F337" s="4"/>
      <c r="H337" s="4"/>
    </row>
    <row r="338" spans="2:8" ht="25.5" customHeight="1" x14ac:dyDescent="0.5">
      <c r="B338" s="4"/>
      <c r="C338" s="4"/>
      <c r="F338" s="4"/>
      <c r="H338" s="4"/>
    </row>
    <row r="339" spans="2:8" ht="25.5" customHeight="1" x14ac:dyDescent="0.5">
      <c r="B339" s="4"/>
      <c r="C339" s="4"/>
      <c r="F339" s="4"/>
      <c r="H339" s="4"/>
    </row>
    <row r="340" spans="2:8" ht="25.5" customHeight="1" x14ac:dyDescent="0.5">
      <c r="B340" s="4"/>
      <c r="C340" s="4"/>
      <c r="F340" s="4"/>
      <c r="H340" s="4"/>
    </row>
    <row r="341" spans="2:8" ht="25.5" customHeight="1" x14ac:dyDescent="0.5">
      <c r="B341" s="4"/>
      <c r="C341" s="4"/>
      <c r="F341" s="4"/>
      <c r="H341" s="4"/>
    </row>
    <row r="342" spans="2:8" ht="25.5" customHeight="1" x14ac:dyDescent="0.5">
      <c r="B342" s="4"/>
      <c r="C342" s="4"/>
      <c r="F342" s="4"/>
      <c r="H342" s="4"/>
    </row>
    <row r="343" spans="2:8" ht="25.5" customHeight="1" x14ac:dyDescent="0.5">
      <c r="B343" s="4"/>
      <c r="C343" s="4"/>
      <c r="F343" s="4"/>
      <c r="H343" s="4"/>
    </row>
    <row r="344" spans="2:8" ht="25.5" customHeight="1" x14ac:dyDescent="0.5">
      <c r="B344" s="4"/>
      <c r="C344" s="4"/>
      <c r="F344" s="4"/>
      <c r="H344" s="4"/>
    </row>
    <row r="345" spans="2:8" ht="25.5" customHeight="1" x14ac:dyDescent="0.5">
      <c r="B345" s="4"/>
      <c r="C345" s="4"/>
      <c r="F345" s="4"/>
      <c r="H345" s="4"/>
    </row>
    <row r="346" spans="2:8" ht="25.5" customHeight="1" x14ac:dyDescent="0.5">
      <c r="B346" s="4"/>
      <c r="C346" s="4"/>
      <c r="F346" s="4"/>
      <c r="H346" s="4"/>
    </row>
    <row r="347" spans="2:8" ht="25.5" customHeight="1" x14ac:dyDescent="0.5">
      <c r="B347" s="4"/>
      <c r="C347" s="4"/>
      <c r="F347" s="4"/>
      <c r="H347" s="4"/>
    </row>
    <row r="348" spans="2:8" ht="25.5" customHeight="1" x14ac:dyDescent="0.5">
      <c r="B348" s="4"/>
      <c r="C348" s="4"/>
      <c r="F348" s="4"/>
      <c r="H348" s="4"/>
    </row>
    <row r="349" spans="2:8" ht="25.5" customHeight="1" x14ac:dyDescent="0.5">
      <c r="B349" s="4"/>
      <c r="C349" s="4"/>
      <c r="F349" s="4"/>
      <c r="H349" s="4"/>
    </row>
    <row r="350" spans="2:8" ht="25.5" customHeight="1" x14ac:dyDescent="0.5">
      <c r="B350" s="4"/>
      <c r="C350" s="4"/>
      <c r="F350" s="4"/>
      <c r="H350" s="4"/>
    </row>
    <row r="351" spans="2:8" ht="25.5" customHeight="1" x14ac:dyDescent="0.5">
      <c r="B351" s="4"/>
      <c r="C351" s="4"/>
      <c r="F351" s="4"/>
      <c r="H351" s="4"/>
    </row>
    <row r="352" spans="2:8" ht="25.5" customHeight="1" x14ac:dyDescent="0.5">
      <c r="B352" s="4"/>
      <c r="C352" s="4"/>
      <c r="F352" s="4"/>
      <c r="H352" s="4"/>
    </row>
    <row r="353" spans="2:8" ht="25.5" customHeight="1" x14ac:dyDescent="0.5">
      <c r="B353" s="4"/>
      <c r="C353" s="4"/>
      <c r="F353" s="4"/>
      <c r="H353" s="4"/>
    </row>
    <row r="354" spans="2:8" ht="25.5" customHeight="1" x14ac:dyDescent="0.5">
      <c r="B354" s="4"/>
      <c r="C354" s="4"/>
      <c r="F354" s="4"/>
      <c r="H354" s="4"/>
    </row>
    <row r="355" spans="2:8" ht="25.5" customHeight="1" x14ac:dyDescent="0.5">
      <c r="B355" s="4"/>
      <c r="C355" s="4"/>
      <c r="F355" s="4"/>
      <c r="H355" s="4"/>
    </row>
    <row r="356" spans="2:8" ht="25.5" customHeight="1" x14ac:dyDescent="0.5">
      <c r="B356" s="4"/>
      <c r="C356" s="4"/>
      <c r="F356" s="4"/>
      <c r="H356" s="4"/>
    </row>
    <row r="357" spans="2:8" ht="25.5" customHeight="1" x14ac:dyDescent="0.5">
      <c r="B357" s="4"/>
      <c r="C357" s="4"/>
      <c r="F357" s="4"/>
      <c r="H357" s="4"/>
    </row>
    <row r="358" spans="2:8" ht="25.5" customHeight="1" x14ac:dyDescent="0.5">
      <c r="B358" s="4"/>
      <c r="C358" s="4"/>
      <c r="F358" s="4"/>
      <c r="H358" s="4"/>
    </row>
    <row r="359" spans="2:8" ht="25.5" customHeight="1" x14ac:dyDescent="0.5">
      <c r="B359" s="4"/>
      <c r="C359" s="4"/>
      <c r="F359" s="4"/>
      <c r="H359" s="4"/>
    </row>
    <row r="360" spans="2:8" ht="25.5" customHeight="1" x14ac:dyDescent="0.5">
      <c r="B360" s="4"/>
      <c r="C360" s="4"/>
      <c r="F360" s="4"/>
      <c r="H360" s="4"/>
    </row>
    <row r="361" spans="2:8" ht="25.5" customHeight="1" x14ac:dyDescent="0.5">
      <c r="B361" s="4"/>
      <c r="C361" s="4"/>
      <c r="F361" s="4"/>
      <c r="H361" s="4"/>
    </row>
    <row r="362" spans="2:8" ht="25.5" customHeight="1" x14ac:dyDescent="0.5">
      <c r="B362" s="4"/>
      <c r="C362" s="4"/>
      <c r="F362" s="4"/>
      <c r="H362" s="4"/>
    </row>
    <row r="363" spans="2:8" ht="25.5" customHeight="1" x14ac:dyDescent="0.5">
      <c r="B363" s="4"/>
      <c r="C363" s="4"/>
      <c r="F363" s="4"/>
      <c r="H363" s="4"/>
    </row>
    <row r="364" spans="2:8" ht="25.5" customHeight="1" x14ac:dyDescent="0.5">
      <c r="B364" s="4"/>
      <c r="C364" s="4"/>
      <c r="F364" s="4"/>
      <c r="H364" s="4"/>
    </row>
    <row r="365" spans="2:8" ht="25.5" customHeight="1" x14ac:dyDescent="0.5">
      <c r="B365" s="4"/>
      <c r="C365" s="4"/>
      <c r="F365" s="4"/>
      <c r="H365" s="4"/>
    </row>
    <row r="366" spans="2:8" ht="25.5" customHeight="1" x14ac:dyDescent="0.5">
      <c r="B366" s="4"/>
      <c r="C366" s="4"/>
      <c r="F366" s="4"/>
      <c r="H366" s="4"/>
    </row>
    <row r="367" spans="2:8" ht="25.5" customHeight="1" x14ac:dyDescent="0.5">
      <c r="B367" s="4"/>
      <c r="C367" s="4"/>
      <c r="F367" s="4"/>
      <c r="H367" s="4"/>
    </row>
    <row r="368" spans="2:8" ht="25.5" customHeight="1" x14ac:dyDescent="0.5">
      <c r="B368" s="4"/>
      <c r="C368" s="4"/>
      <c r="F368" s="4"/>
      <c r="H368" s="4"/>
    </row>
    <row r="369" spans="2:8" ht="25.5" customHeight="1" x14ac:dyDescent="0.5">
      <c r="B369" s="4"/>
      <c r="C369" s="4"/>
      <c r="F369" s="4"/>
      <c r="H369" s="4"/>
    </row>
    <row r="370" spans="2:8" ht="25.5" customHeight="1" x14ac:dyDescent="0.5">
      <c r="B370" s="4"/>
      <c r="C370" s="4"/>
      <c r="F370" s="4"/>
      <c r="H370" s="4"/>
    </row>
    <row r="371" spans="2:8" ht="25.5" customHeight="1" x14ac:dyDescent="0.5">
      <c r="B371" s="4"/>
      <c r="C371" s="4"/>
      <c r="F371" s="4"/>
      <c r="H371" s="4"/>
    </row>
    <row r="372" spans="2:8" ht="25.5" customHeight="1" x14ac:dyDescent="0.5">
      <c r="B372" s="4"/>
      <c r="C372" s="4"/>
      <c r="F372" s="4"/>
      <c r="H372" s="4"/>
    </row>
    <row r="373" spans="2:8" ht="25.5" customHeight="1" x14ac:dyDescent="0.5">
      <c r="B373" s="4"/>
      <c r="C373" s="4"/>
      <c r="F373" s="4"/>
      <c r="H373" s="4"/>
    </row>
    <row r="374" spans="2:8" ht="25.5" customHeight="1" x14ac:dyDescent="0.5">
      <c r="B374" s="4"/>
      <c r="C374" s="4"/>
      <c r="F374" s="4"/>
      <c r="H374" s="4"/>
    </row>
    <row r="375" spans="2:8" ht="25.5" customHeight="1" x14ac:dyDescent="0.5">
      <c r="B375" s="4"/>
      <c r="C375" s="4"/>
      <c r="F375" s="4"/>
      <c r="H375" s="4"/>
    </row>
    <row r="376" spans="2:8" ht="25.5" customHeight="1" x14ac:dyDescent="0.5">
      <c r="B376" s="4"/>
      <c r="C376" s="4"/>
      <c r="F376" s="4"/>
      <c r="H376" s="4"/>
    </row>
    <row r="377" spans="2:8" ht="25.5" customHeight="1" x14ac:dyDescent="0.5">
      <c r="B377" s="4"/>
      <c r="C377" s="4"/>
      <c r="F377" s="4"/>
      <c r="H377" s="4"/>
    </row>
    <row r="378" spans="2:8" ht="25.5" customHeight="1" x14ac:dyDescent="0.5">
      <c r="B378" s="4"/>
      <c r="C378" s="4"/>
      <c r="F378" s="4"/>
      <c r="H378" s="4"/>
    </row>
    <row r="379" spans="2:8" ht="25.5" customHeight="1" x14ac:dyDescent="0.5">
      <c r="B379" s="4"/>
      <c r="C379" s="4"/>
      <c r="F379" s="4"/>
      <c r="H379" s="4"/>
    </row>
    <row r="380" spans="2:8" ht="25.5" customHeight="1" x14ac:dyDescent="0.5">
      <c r="B380" s="4"/>
      <c r="C380" s="4"/>
      <c r="F380" s="4"/>
      <c r="H380" s="4"/>
    </row>
    <row r="381" spans="2:8" ht="25.5" customHeight="1" x14ac:dyDescent="0.5">
      <c r="B381" s="4"/>
      <c r="C381" s="4"/>
      <c r="F381" s="4"/>
      <c r="H381" s="4"/>
    </row>
    <row r="382" spans="2:8" ht="25.5" customHeight="1" x14ac:dyDescent="0.5">
      <c r="B382" s="4"/>
      <c r="C382" s="4"/>
      <c r="F382" s="4"/>
      <c r="H382" s="4"/>
    </row>
    <row r="383" spans="2:8" ht="25.5" customHeight="1" x14ac:dyDescent="0.5">
      <c r="B383" s="4"/>
      <c r="C383" s="4"/>
      <c r="F383" s="4"/>
      <c r="H383" s="4"/>
    </row>
    <row r="384" spans="2:8" ht="25.5" customHeight="1" x14ac:dyDescent="0.5">
      <c r="B384" s="4"/>
      <c r="C384" s="4"/>
      <c r="F384" s="4"/>
      <c r="H384" s="4"/>
    </row>
    <row r="385" spans="2:8" ht="25.5" customHeight="1" x14ac:dyDescent="0.5">
      <c r="B385" s="4"/>
      <c r="C385" s="4"/>
      <c r="F385" s="4"/>
      <c r="H385" s="4"/>
    </row>
    <row r="386" spans="2:8" ht="25.5" customHeight="1" x14ac:dyDescent="0.5">
      <c r="B386" s="4"/>
      <c r="C386" s="4"/>
      <c r="F386" s="4"/>
      <c r="H386" s="4"/>
    </row>
    <row r="387" spans="2:8" ht="25.5" customHeight="1" x14ac:dyDescent="0.5">
      <c r="B387" s="4"/>
      <c r="C387" s="4"/>
      <c r="F387" s="4"/>
      <c r="H387" s="4"/>
    </row>
    <row r="388" spans="2:8" ht="25.5" customHeight="1" x14ac:dyDescent="0.5">
      <c r="B388" s="4"/>
      <c r="C388" s="4"/>
      <c r="F388" s="4"/>
      <c r="H388" s="4"/>
    </row>
    <row r="389" spans="2:8" ht="25.5" customHeight="1" x14ac:dyDescent="0.5">
      <c r="B389" s="4"/>
      <c r="C389" s="4"/>
      <c r="F389" s="4"/>
      <c r="H389" s="4"/>
    </row>
    <row r="390" spans="2:8" ht="25.5" customHeight="1" x14ac:dyDescent="0.5">
      <c r="B390" s="4"/>
      <c r="C390" s="4"/>
      <c r="F390" s="4"/>
      <c r="H390" s="4"/>
    </row>
    <row r="391" spans="2:8" ht="25.5" customHeight="1" x14ac:dyDescent="0.5">
      <c r="B391" s="4"/>
      <c r="C391" s="4"/>
      <c r="F391" s="4"/>
      <c r="H391" s="4"/>
    </row>
    <row r="392" spans="2:8" ht="25.5" customHeight="1" x14ac:dyDescent="0.5">
      <c r="B392" s="4"/>
      <c r="C392" s="4"/>
      <c r="F392" s="4"/>
      <c r="H392" s="4"/>
    </row>
    <row r="393" spans="2:8" ht="25.5" customHeight="1" x14ac:dyDescent="0.5">
      <c r="B393" s="4"/>
      <c r="C393" s="4"/>
      <c r="F393" s="4"/>
      <c r="H393" s="4"/>
    </row>
    <row r="394" spans="2:8" ht="25.5" customHeight="1" x14ac:dyDescent="0.5">
      <c r="B394" s="4"/>
      <c r="C394" s="4"/>
      <c r="F394" s="4"/>
      <c r="H394" s="4"/>
    </row>
    <row r="395" spans="2:8" ht="25.5" customHeight="1" x14ac:dyDescent="0.5">
      <c r="B395" s="4"/>
      <c r="C395" s="4"/>
      <c r="F395" s="4"/>
      <c r="H395" s="4"/>
    </row>
    <row r="396" spans="2:8" ht="25.5" customHeight="1" x14ac:dyDescent="0.5">
      <c r="B396" s="4"/>
      <c r="C396" s="4"/>
      <c r="F396" s="4"/>
      <c r="H396" s="4"/>
    </row>
    <row r="397" spans="2:8" ht="25.5" customHeight="1" x14ac:dyDescent="0.5">
      <c r="B397" s="4"/>
      <c r="C397" s="4"/>
      <c r="F397" s="4"/>
      <c r="H397" s="4"/>
    </row>
    <row r="398" spans="2:8" ht="25.5" customHeight="1" x14ac:dyDescent="0.5">
      <c r="B398" s="4"/>
      <c r="C398" s="4"/>
      <c r="F398" s="4"/>
      <c r="H398" s="4"/>
    </row>
    <row r="399" spans="2:8" ht="25.5" customHeight="1" x14ac:dyDescent="0.5">
      <c r="B399" s="4"/>
      <c r="C399" s="4"/>
      <c r="F399" s="4"/>
      <c r="H399" s="4"/>
    </row>
    <row r="400" spans="2:8" ht="25.5" customHeight="1" x14ac:dyDescent="0.5">
      <c r="B400" s="4"/>
      <c r="C400" s="4"/>
      <c r="F400" s="4"/>
      <c r="H400" s="4"/>
    </row>
    <row r="401" spans="2:8" ht="25.5" customHeight="1" x14ac:dyDescent="0.5">
      <c r="B401" s="4"/>
      <c r="C401" s="4"/>
      <c r="F401" s="4"/>
      <c r="H401" s="4"/>
    </row>
    <row r="402" spans="2:8" ht="25.5" customHeight="1" x14ac:dyDescent="0.5">
      <c r="B402" s="4"/>
      <c r="C402" s="4"/>
      <c r="F402" s="4"/>
      <c r="H402" s="4"/>
    </row>
    <row r="403" spans="2:8" ht="25.5" customHeight="1" x14ac:dyDescent="0.5">
      <c r="B403" s="4"/>
      <c r="C403" s="4"/>
      <c r="F403" s="4"/>
      <c r="H403" s="4"/>
    </row>
    <row r="404" spans="2:8" ht="25.5" customHeight="1" x14ac:dyDescent="0.5">
      <c r="B404" s="4"/>
      <c r="C404" s="4"/>
      <c r="F404" s="4"/>
      <c r="H404" s="4"/>
    </row>
    <row r="405" spans="2:8" ht="25.5" customHeight="1" x14ac:dyDescent="0.5">
      <c r="B405" s="4"/>
      <c r="C405" s="4"/>
      <c r="F405" s="4"/>
      <c r="H405" s="4"/>
    </row>
    <row r="406" spans="2:8" ht="25.5" customHeight="1" x14ac:dyDescent="0.5">
      <c r="B406" s="4"/>
      <c r="C406" s="4"/>
      <c r="F406" s="4"/>
      <c r="H406" s="4"/>
    </row>
    <row r="407" spans="2:8" ht="25.5" customHeight="1" x14ac:dyDescent="0.5">
      <c r="B407" s="4"/>
      <c r="C407" s="4"/>
      <c r="F407" s="4"/>
      <c r="H407" s="4"/>
    </row>
    <row r="408" spans="2:8" ht="25.5" customHeight="1" x14ac:dyDescent="0.5">
      <c r="B408" s="4"/>
      <c r="C408" s="4"/>
      <c r="F408" s="4"/>
      <c r="H408" s="4"/>
    </row>
    <row r="409" spans="2:8" ht="25.5" customHeight="1" x14ac:dyDescent="0.5">
      <c r="B409" s="4"/>
      <c r="C409" s="4"/>
      <c r="F409" s="4"/>
      <c r="H409" s="4"/>
    </row>
    <row r="410" spans="2:8" ht="25.5" customHeight="1" x14ac:dyDescent="0.5">
      <c r="B410" s="4"/>
      <c r="C410" s="4"/>
      <c r="F410" s="4"/>
      <c r="H410" s="4"/>
    </row>
    <row r="411" spans="2:8" ht="25.5" customHeight="1" x14ac:dyDescent="0.5">
      <c r="B411" s="4"/>
      <c r="C411" s="4"/>
      <c r="F411" s="4"/>
      <c r="H411" s="4"/>
    </row>
    <row r="412" spans="2:8" ht="25.5" customHeight="1" x14ac:dyDescent="0.5">
      <c r="B412" s="4"/>
      <c r="C412" s="4"/>
      <c r="F412" s="4"/>
      <c r="H412" s="4"/>
    </row>
    <row r="413" spans="2:8" ht="25.5" customHeight="1" x14ac:dyDescent="0.5">
      <c r="B413" s="4"/>
      <c r="C413" s="4"/>
      <c r="F413" s="4"/>
      <c r="H413" s="4"/>
    </row>
    <row r="414" spans="2:8" ht="25.5" customHeight="1" x14ac:dyDescent="0.5">
      <c r="B414" s="4"/>
      <c r="C414" s="4"/>
      <c r="F414" s="4"/>
      <c r="H414" s="4"/>
    </row>
    <row r="415" spans="2:8" ht="25.5" customHeight="1" x14ac:dyDescent="0.5">
      <c r="B415" s="4"/>
      <c r="C415" s="4"/>
      <c r="F415" s="4"/>
      <c r="H415" s="4"/>
    </row>
    <row r="416" spans="2:8" ht="25.5" customHeight="1" x14ac:dyDescent="0.5">
      <c r="B416" s="4"/>
      <c r="C416" s="4"/>
      <c r="F416" s="4"/>
      <c r="H416" s="4"/>
    </row>
    <row r="417" spans="2:8" ht="25.5" customHeight="1" x14ac:dyDescent="0.5">
      <c r="B417" s="4"/>
      <c r="C417" s="4"/>
      <c r="F417" s="4"/>
      <c r="H417" s="4"/>
    </row>
    <row r="418" spans="2:8" ht="25.5" customHeight="1" x14ac:dyDescent="0.5">
      <c r="B418" s="4"/>
      <c r="C418" s="4"/>
      <c r="F418" s="4"/>
      <c r="H418" s="4"/>
    </row>
    <row r="419" spans="2:8" ht="25.5" customHeight="1" x14ac:dyDescent="0.5">
      <c r="B419" s="4"/>
      <c r="C419" s="4"/>
      <c r="F419" s="4"/>
      <c r="H419" s="4"/>
    </row>
    <row r="420" spans="2:8" ht="25.5" customHeight="1" x14ac:dyDescent="0.5">
      <c r="B420" s="4"/>
      <c r="C420" s="4"/>
      <c r="F420" s="4"/>
      <c r="H420" s="4"/>
    </row>
    <row r="421" spans="2:8" ht="25.5" customHeight="1" x14ac:dyDescent="0.5">
      <c r="B421" s="4"/>
      <c r="C421" s="4"/>
      <c r="F421" s="4"/>
      <c r="H421" s="4"/>
    </row>
    <row r="422" spans="2:8" ht="25.5" customHeight="1" x14ac:dyDescent="0.5">
      <c r="B422" s="4"/>
      <c r="C422" s="4"/>
      <c r="F422" s="4"/>
      <c r="H422" s="4"/>
    </row>
    <row r="423" spans="2:8" ht="25.5" customHeight="1" x14ac:dyDescent="0.5">
      <c r="B423" s="4"/>
      <c r="C423" s="4"/>
      <c r="F423" s="4"/>
      <c r="H423" s="4"/>
    </row>
    <row r="424" spans="2:8" ht="25.5" customHeight="1" x14ac:dyDescent="0.5">
      <c r="B424" s="4"/>
      <c r="C424" s="4"/>
      <c r="F424" s="4"/>
      <c r="H424" s="4"/>
    </row>
    <row r="425" spans="2:8" ht="25.5" customHeight="1" x14ac:dyDescent="0.5">
      <c r="B425" s="4"/>
      <c r="C425" s="4"/>
      <c r="F425" s="4"/>
      <c r="H425" s="4"/>
    </row>
    <row r="426" spans="2:8" ht="25.5" customHeight="1" x14ac:dyDescent="0.5">
      <c r="B426" s="4"/>
      <c r="C426" s="4"/>
      <c r="F426" s="4"/>
      <c r="H426" s="4"/>
    </row>
    <row r="427" spans="2:8" ht="25.5" customHeight="1" x14ac:dyDescent="0.5">
      <c r="B427" s="4"/>
      <c r="C427" s="4"/>
      <c r="F427" s="4"/>
      <c r="H427" s="4"/>
    </row>
    <row r="428" spans="2:8" ht="25.5" customHeight="1" x14ac:dyDescent="0.5">
      <c r="B428" s="4"/>
      <c r="C428" s="4"/>
      <c r="F428" s="4"/>
      <c r="H428" s="4"/>
    </row>
    <row r="429" spans="2:8" ht="25.5" customHeight="1" x14ac:dyDescent="0.5">
      <c r="B429" s="4"/>
      <c r="C429" s="4"/>
      <c r="F429" s="4"/>
      <c r="H429" s="4"/>
    </row>
    <row r="430" spans="2:8" ht="25.5" customHeight="1" x14ac:dyDescent="0.5">
      <c r="B430" s="4"/>
      <c r="C430" s="4"/>
      <c r="F430" s="4"/>
      <c r="H430" s="4"/>
    </row>
    <row r="431" spans="2:8" ht="25.5" customHeight="1" x14ac:dyDescent="0.5">
      <c r="B431" s="4"/>
      <c r="C431" s="4"/>
      <c r="F431" s="4"/>
      <c r="H431" s="4"/>
    </row>
    <row r="432" spans="2:8" ht="25.5" customHeight="1" x14ac:dyDescent="0.5">
      <c r="B432" s="4"/>
      <c r="C432" s="4"/>
      <c r="F432" s="4"/>
      <c r="H432" s="4"/>
    </row>
    <row r="433" spans="2:8" ht="25.5" customHeight="1" x14ac:dyDescent="0.5">
      <c r="B433" s="4"/>
      <c r="C433" s="4"/>
      <c r="F433" s="4"/>
      <c r="H433" s="4"/>
    </row>
    <row r="434" spans="2:8" ht="25.5" customHeight="1" x14ac:dyDescent="0.5">
      <c r="B434" s="4"/>
      <c r="C434" s="4"/>
      <c r="F434" s="4"/>
      <c r="H434" s="4"/>
    </row>
    <row r="435" spans="2:8" ht="25.5" customHeight="1" x14ac:dyDescent="0.5">
      <c r="B435" s="4"/>
      <c r="C435" s="4"/>
      <c r="F435" s="4"/>
      <c r="H435" s="4"/>
    </row>
    <row r="436" spans="2:8" ht="25.5" customHeight="1" x14ac:dyDescent="0.5">
      <c r="B436" s="4"/>
      <c r="C436" s="4"/>
      <c r="F436" s="4"/>
      <c r="H436" s="4"/>
    </row>
    <row r="437" spans="2:8" ht="25.5" customHeight="1" x14ac:dyDescent="0.5">
      <c r="B437" s="4"/>
      <c r="C437" s="4"/>
      <c r="F437" s="4"/>
      <c r="H437" s="4"/>
    </row>
    <row r="438" spans="2:8" ht="25.5" customHeight="1" x14ac:dyDescent="0.5">
      <c r="B438" s="4"/>
      <c r="C438" s="4"/>
      <c r="F438" s="4"/>
      <c r="H438" s="4"/>
    </row>
    <row r="439" spans="2:8" ht="25.5" customHeight="1" x14ac:dyDescent="0.5">
      <c r="B439" s="4"/>
      <c r="C439" s="4"/>
      <c r="F439" s="4"/>
      <c r="H439" s="4"/>
    </row>
    <row r="440" spans="2:8" ht="25.5" customHeight="1" x14ac:dyDescent="0.5">
      <c r="B440" s="4"/>
      <c r="C440" s="4"/>
      <c r="F440" s="4"/>
      <c r="H440" s="4"/>
    </row>
    <row r="441" spans="2:8" ht="25.5" customHeight="1" x14ac:dyDescent="0.5">
      <c r="B441" s="4"/>
      <c r="C441" s="4"/>
      <c r="F441" s="4"/>
      <c r="H441" s="4"/>
    </row>
    <row r="442" spans="2:8" ht="25.5" customHeight="1" x14ac:dyDescent="0.5">
      <c r="B442" s="4"/>
      <c r="C442" s="4"/>
      <c r="F442" s="4"/>
      <c r="H442" s="4"/>
    </row>
    <row r="443" spans="2:8" ht="25.5" customHeight="1" x14ac:dyDescent="0.5">
      <c r="B443" s="4"/>
      <c r="C443" s="4"/>
      <c r="F443" s="4"/>
      <c r="H443" s="4"/>
    </row>
    <row r="444" spans="2:8" ht="25.5" customHeight="1" x14ac:dyDescent="0.5">
      <c r="B444" s="4"/>
      <c r="C444" s="4"/>
      <c r="F444" s="4"/>
      <c r="H444" s="4"/>
    </row>
    <row r="445" spans="2:8" ht="25.5" customHeight="1" x14ac:dyDescent="0.5">
      <c r="B445" s="4"/>
      <c r="C445" s="4"/>
      <c r="F445" s="4"/>
      <c r="H445" s="4"/>
    </row>
    <row r="446" spans="2:8" ht="25.5" customHeight="1" x14ac:dyDescent="0.5">
      <c r="B446" s="4"/>
      <c r="C446" s="4"/>
      <c r="F446" s="4"/>
      <c r="H446" s="4"/>
    </row>
    <row r="447" spans="2:8" ht="25.5" customHeight="1" x14ac:dyDescent="0.5">
      <c r="B447" s="4"/>
      <c r="C447" s="4"/>
      <c r="F447" s="4"/>
      <c r="H447" s="4"/>
    </row>
    <row r="448" spans="2:8" ht="25.5" customHeight="1" x14ac:dyDescent="0.5">
      <c r="B448" s="4"/>
      <c r="C448" s="4"/>
      <c r="F448" s="4"/>
      <c r="H448" s="4"/>
    </row>
    <row r="449" spans="2:8" ht="25.5" customHeight="1" x14ac:dyDescent="0.5">
      <c r="B449" s="4"/>
      <c r="C449" s="4"/>
      <c r="F449" s="4"/>
      <c r="H449" s="4"/>
    </row>
    <row r="450" spans="2:8" ht="25.5" customHeight="1" x14ac:dyDescent="0.5">
      <c r="B450" s="4"/>
      <c r="C450" s="4"/>
      <c r="F450" s="4"/>
      <c r="H450" s="4"/>
    </row>
    <row r="451" spans="2:8" ht="25.5" customHeight="1" x14ac:dyDescent="0.5">
      <c r="B451" s="4"/>
      <c r="C451" s="4"/>
      <c r="F451" s="4"/>
      <c r="H451" s="4"/>
    </row>
    <row r="452" spans="2:8" ht="25.5" customHeight="1" x14ac:dyDescent="0.5">
      <c r="B452" s="4"/>
      <c r="C452" s="4"/>
      <c r="F452" s="4"/>
      <c r="H452" s="4"/>
    </row>
    <row r="453" spans="2:8" ht="25.5" customHeight="1" x14ac:dyDescent="0.5">
      <c r="B453" s="4"/>
      <c r="C453" s="4"/>
      <c r="F453" s="4"/>
      <c r="H453" s="4"/>
    </row>
    <row r="454" spans="2:8" ht="25.5" customHeight="1" x14ac:dyDescent="0.5">
      <c r="B454" s="4"/>
      <c r="C454" s="4"/>
      <c r="F454" s="4"/>
      <c r="H454" s="4"/>
    </row>
    <row r="455" spans="2:8" ht="25.5" customHeight="1" x14ac:dyDescent="0.5">
      <c r="B455" s="4"/>
      <c r="C455" s="4"/>
      <c r="F455" s="4"/>
      <c r="H455" s="4"/>
    </row>
    <row r="456" spans="2:8" ht="25.5" customHeight="1" x14ac:dyDescent="0.5">
      <c r="B456" s="4"/>
      <c r="C456" s="4"/>
      <c r="F456" s="4"/>
      <c r="H456" s="4"/>
    </row>
    <row r="457" spans="2:8" ht="25.5" customHeight="1" x14ac:dyDescent="0.5">
      <c r="B457" s="4"/>
      <c r="C457" s="4"/>
      <c r="F457" s="4"/>
      <c r="H457" s="4"/>
    </row>
    <row r="458" spans="2:8" ht="25.5" customHeight="1" x14ac:dyDescent="0.5">
      <c r="B458" s="4"/>
      <c r="C458" s="4"/>
      <c r="F458" s="4"/>
      <c r="H458" s="4"/>
    </row>
    <row r="459" spans="2:8" ht="25.5" customHeight="1" x14ac:dyDescent="0.5">
      <c r="B459" s="4"/>
      <c r="C459" s="4"/>
      <c r="F459" s="4"/>
      <c r="H459" s="4"/>
    </row>
    <row r="460" spans="2:8" ht="25.5" customHeight="1" x14ac:dyDescent="0.5">
      <c r="B460" s="4"/>
      <c r="C460" s="4"/>
      <c r="F460" s="4"/>
      <c r="H460" s="4"/>
    </row>
    <row r="461" spans="2:8" ht="25.5" customHeight="1" x14ac:dyDescent="0.5">
      <c r="B461" s="4"/>
      <c r="C461" s="4"/>
      <c r="F461" s="4"/>
      <c r="H461" s="4"/>
    </row>
    <row r="462" spans="2:8" ht="25.5" customHeight="1" x14ac:dyDescent="0.5">
      <c r="B462" s="4"/>
      <c r="C462" s="4"/>
      <c r="F462" s="4"/>
      <c r="H462" s="4"/>
    </row>
    <row r="463" spans="2:8" ht="25.5" customHeight="1" x14ac:dyDescent="0.5">
      <c r="B463" s="4"/>
      <c r="C463" s="4"/>
      <c r="F463" s="4"/>
      <c r="H463" s="4"/>
    </row>
    <row r="464" spans="2:8" ht="25.5" customHeight="1" x14ac:dyDescent="0.5">
      <c r="B464" s="4"/>
      <c r="C464" s="4"/>
      <c r="F464" s="4"/>
      <c r="H464" s="4"/>
    </row>
    <row r="465" spans="2:8" ht="25.5" customHeight="1" x14ac:dyDescent="0.5">
      <c r="B465" s="4"/>
      <c r="C465" s="4"/>
      <c r="F465" s="4"/>
      <c r="H465" s="4"/>
    </row>
    <row r="466" spans="2:8" ht="25.5" customHeight="1" x14ac:dyDescent="0.5">
      <c r="B466" s="4"/>
      <c r="C466" s="4"/>
      <c r="F466" s="4"/>
      <c r="H466" s="4"/>
    </row>
    <row r="467" spans="2:8" ht="25.5" customHeight="1" x14ac:dyDescent="0.5">
      <c r="B467" s="4"/>
      <c r="C467" s="4"/>
      <c r="F467" s="4"/>
      <c r="H467" s="4"/>
    </row>
    <row r="468" spans="2:8" ht="25.5" customHeight="1" x14ac:dyDescent="0.5">
      <c r="B468" s="4"/>
      <c r="C468" s="4"/>
      <c r="F468" s="4"/>
      <c r="H468" s="4"/>
    </row>
    <row r="469" spans="2:8" ht="25.5" customHeight="1" x14ac:dyDescent="0.5">
      <c r="B469" s="4"/>
      <c r="C469" s="4"/>
      <c r="F469" s="4"/>
      <c r="H469" s="4"/>
    </row>
    <row r="470" spans="2:8" ht="25.5" customHeight="1" x14ac:dyDescent="0.5">
      <c r="B470" s="4"/>
      <c r="C470" s="4"/>
      <c r="F470" s="4"/>
      <c r="H470" s="4"/>
    </row>
    <row r="471" spans="2:8" ht="25.5" customHeight="1" x14ac:dyDescent="0.5">
      <c r="B471" s="4"/>
      <c r="C471" s="4"/>
      <c r="F471" s="4"/>
      <c r="H471" s="4"/>
    </row>
    <row r="472" spans="2:8" ht="25.5" customHeight="1" x14ac:dyDescent="0.5">
      <c r="B472" s="4"/>
      <c r="C472" s="4"/>
      <c r="F472" s="4"/>
      <c r="H472" s="4"/>
    </row>
    <row r="473" spans="2:8" ht="25.5" customHeight="1" x14ac:dyDescent="0.5">
      <c r="B473" s="4"/>
      <c r="C473" s="4"/>
      <c r="F473" s="4"/>
      <c r="H473" s="4"/>
    </row>
    <row r="474" spans="2:8" ht="25.5" customHeight="1" x14ac:dyDescent="0.5">
      <c r="B474" s="4"/>
      <c r="C474" s="4"/>
      <c r="F474" s="4"/>
      <c r="H474" s="4"/>
    </row>
    <row r="475" spans="2:8" ht="25.5" customHeight="1" x14ac:dyDescent="0.5">
      <c r="B475" s="4"/>
      <c r="C475" s="4"/>
      <c r="F475" s="4"/>
      <c r="H475" s="4"/>
    </row>
    <row r="476" spans="2:8" ht="25.5" customHeight="1" x14ac:dyDescent="0.5">
      <c r="B476" s="4"/>
      <c r="C476" s="4"/>
      <c r="F476" s="4"/>
      <c r="H476" s="4"/>
    </row>
    <row r="477" spans="2:8" ht="25.5" customHeight="1" x14ac:dyDescent="0.5">
      <c r="B477" s="4"/>
      <c r="C477" s="4"/>
      <c r="F477" s="4"/>
      <c r="H477" s="4"/>
    </row>
    <row r="478" spans="2:8" ht="25.5" customHeight="1" x14ac:dyDescent="0.5">
      <c r="B478" s="4"/>
      <c r="C478" s="4"/>
      <c r="F478" s="4"/>
      <c r="H478" s="4"/>
    </row>
    <row r="479" spans="2:8" ht="25.5" customHeight="1" x14ac:dyDescent="0.5">
      <c r="B479" s="4"/>
      <c r="C479" s="4"/>
      <c r="F479" s="4"/>
      <c r="H479" s="4"/>
    </row>
    <row r="480" spans="2:8" ht="25.5" customHeight="1" x14ac:dyDescent="0.5">
      <c r="B480" s="4"/>
      <c r="C480" s="4"/>
      <c r="F480" s="4"/>
      <c r="H480" s="4"/>
    </row>
    <row r="481" spans="2:8" ht="25.5" customHeight="1" x14ac:dyDescent="0.5">
      <c r="B481" s="4"/>
      <c r="C481" s="4"/>
      <c r="F481" s="4"/>
      <c r="H481" s="4"/>
    </row>
    <row r="482" spans="2:8" ht="25.5" customHeight="1" x14ac:dyDescent="0.5">
      <c r="B482" s="4"/>
      <c r="C482" s="4"/>
      <c r="F482" s="4"/>
      <c r="H482" s="4"/>
    </row>
    <row r="483" spans="2:8" ht="25.5" customHeight="1" x14ac:dyDescent="0.5">
      <c r="B483" s="4"/>
      <c r="C483" s="4"/>
      <c r="F483" s="4"/>
      <c r="H483" s="4"/>
    </row>
    <row r="484" spans="2:8" ht="25.5" customHeight="1" x14ac:dyDescent="0.5">
      <c r="B484" s="4"/>
      <c r="C484" s="4"/>
      <c r="F484" s="4"/>
      <c r="H484" s="4"/>
    </row>
    <row r="485" spans="2:8" ht="25.5" customHeight="1" x14ac:dyDescent="0.5">
      <c r="B485" s="4"/>
      <c r="C485" s="4"/>
      <c r="F485" s="4"/>
      <c r="H485" s="4"/>
    </row>
    <row r="486" spans="2:8" ht="25.5" customHeight="1" x14ac:dyDescent="0.5">
      <c r="B486" s="4"/>
      <c r="C486" s="4"/>
      <c r="F486" s="4"/>
      <c r="H486" s="4"/>
    </row>
    <row r="487" spans="2:8" ht="25.5" customHeight="1" x14ac:dyDescent="0.5">
      <c r="B487" s="4"/>
      <c r="C487" s="4"/>
      <c r="F487" s="4"/>
      <c r="H487" s="4"/>
    </row>
    <row r="488" spans="2:8" ht="25.5" customHeight="1" x14ac:dyDescent="0.5">
      <c r="B488" s="4"/>
      <c r="C488" s="4"/>
      <c r="F488" s="4"/>
      <c r="H488" s="4"/>
    </row>
    <row r="489" spans="2:8" ht="25.5" customHeight="1" x14ac:dyDescent="0.5">
      <c r="B489" s="4"/>
      <c r="C489" s="4"/>
      <c r="F489" s="4"/>
      <c r="H489" s="4"/>
    </row>
    <row r="490" spans="2:8" ht="25.5" customHeight="1" x14ac:dyDescent="0.5">
      <c r="B490" s="4"/>
      <c r="C490" s="4"/>
      <c r="F490" s="4"/>
      <c r="H490" s="4"/>
    </row>
    <row r="491" spans="2:8" ht="25.5" customHeight="1" x14ac:dyDescent="0.5">
      <c r="B491" s="4"/>
      <c r="C491" s="4"/>
      <c r="F491" s="4"/>
      <c r="H491" s="4"/>
    </row>
    <row r="492" spans="2:8" ht="25.5" customHeight="1" x14ac:dyDescent="0.5">
      <c r="B492" s="4"/>
      <c r="C492" s="4"/>
      <c r="F492" s="4"/>
      <c r="H492" s="4"/>
    </row>
    <row r="493" spans="2:8" ht="25.5" customHeight="1" x14ac:dyDescent="0.5">
      <c r="B493" s="4"/>
      <c r="C493" s="4"/>
      <c r="F493" s="4"/>
      <c r="H493" s="4"/>
    </row>
    <row r="494" spans="2:8" ht="25.5" customHeight="1" x14ac:dyDescent="0.5">
      <c r="B494" s="4"/>
      <c r="C494" s="4"/>
      <c r="F494" s="4"/>
      <c r="H494" s="4"/>
    </row>
    <row r="495" spans="2:8" ht="25.5" customHeight="1" x14ac:dyDescent="0.5">
      <c r="B495" s="4"/>
      <c r="C495" s="4"/>
      <c r="F495" s="4"/>
      <c r="H495" s="4"/>
    </row>
    <row r="496" spans="2:8" ht="25.5" customHeight="1" x14ac:dyDescent="0.5">
      <c r="B496" s="4"/>
      <c r="C496" s="4"/>
      <c r="F496" s="4"/>
      <c r="H496" s="4"/>
    </row>
    <row r="497" spans="2:8" ht="25.5" customHeight="1" x14ac:dyDescent="0.5">
      <c r="B497" s="4"/>
      <c r="C497" s="4"/>
      <c r="F497" s="4"/>
      <c r="H497" s="4"/>
    </row>
    <row r="498" spans="2:8" ht="25.5" customHeight="1" x14ac:dyDescent="0.5">
      <c r="B498" s="4"/>
      <c r="C498" s="4"/>
      <c r="F498" s="4"/>
      <c r="H498" s="4"/>
    </row>
    <row r="499" spans="2:8" ht="25.5" customHeight="1" x14ac:dyDescent="0.5">
      <c r="B499" s="4"/>
      <c r="C499" s="4"/>
      <c r="F499" s="4"/>
      <c r="H499" s="4"/>
    </row>
    <row r="500" spans="2:8" ht="25.5" customHeight="1" x14ac:dyDescent="0.5">
      <c r="B500" s="4"/>
      <c r="C500" s="4"/>
      <c r="F500" s="4"/>
      <c r="H500" s="4"/>
    </row>
    <row r="501" spans="2:8" ht="25.5" customHeight="1" x14ac:dyDescent="0.5">
      <c r="B501" s="4"/>
      <c r="C501" s="4"/>
      <c r="F501" s="4"/>
      <c r="H501" s="4"/>
    </row>
    <row r="502" spans="2:8" ht="25.5" customHeight="1" x14ac:dyDescent="0.5">
      <c r="B502" s="4"/>
      <c r="C502" s="4"/>
      <c r="F502" s="4"/>
      <c r="H502" s="4"/>
    </row>
    <row r="503" spans="2:8" ht="25.5" customHeight="1" x14ac:dyDescent="0.5">
      <c r="B503" s="4"/>
      <c r="C503" s="4"/>
      <c r="F503" s="4"/>
      <c r="H503" s="4"/>
    </row>
    <row r="504" spans="2:8" ht="25.5" customHeight="1" x14ac:dyDescent="0.5">
      <c r="B504" s="4"/>
      <c r="C504" s="4"/>
      <c r="F504" s="4"/>
      <c r="H504" s="4"/>
    </row>
    <row r="505" spans="2:8" ht="25.5" customHeight="1" x14ac:dyDescent="0.5">
      <c r="B505" s="4"/>
      <c r="C505" s="4"/>
      <c r="F505" s="4"/>
      <c r="H505" s="4"/>
    </row>
    <row r="506" spans="2:8" ht="25.5" customHeight="1" x14ac:dyDescent="0.5">
      <c r="B506" s="4"/>
      <c r="C506" s="4"/>
      <c r="F506" s="4"/>
      <c r="H506" s="4"/>
    </row>
    <row r="507" spans="2:8" ht="25.5" customHeight="1" x14ac:dyDescent="0.5">
      <c r="B507" s="4"/>
      <c r="C507" s="4"/>
      <c r="F507" s="4"/>
      <c r="H507" s="4"/>
    </row>
    <row r="508" spans="2:8" ht="25.5" customHeight="1" x14ac:dyDescent="0.5">
      <c r="B508" s="4"/>
      <c r="C508" s="4"/>
      <c r="F508" s="4"/>
      <c r="H508" s="4"/>
    </row>
    <row r="509" spans="2:8" ht="25.5" customHeight="1" x14ac:dyDescent="0.5">
      <c r="B509" s="4"/>
      <c r="C509" s="4"/>
      <c r="F509" s="4"/>
      <c r="H509" s="4"/>
    </row>
    <row r="510" spans="2:8" ht="25.5" customHeight="1" x14ac:dyDescent="0.5">
      <c r="B510" s="4"/>
      <c r="C510" s="4"/>
      <c r="F510" s="4"/>
      <c r="H510" s="4"/>
    </row>
    <row r="511" spans="2:8" ht="25.5" customHeight="1" x14ac:dyDescent="0.5">
      <c r="B511" s="4"/>
      <c r="C511" s="4"/>
      <c r="F511" s="4"/>
      <c r="H511" s="4"/>
    </row>
    <row r="512" spans="2:8" ht="25.5" customHeight="1" x14ac:dyDescent="0.5">
      <c r="B512" s="4"/>
      <c r="C512" s="4"/>
      <c r="F512" s="4"/>
      <c r="H512" s="4"/>
    </row>
    <row r="513" spans="2:8" ht="25.5" customHeight="1" x14ac:dyDescent="0.5">
      <c r="B513" s="4"/>
      <c r="C513" s="4"/>
      <c r="F513" s="4"/>
      <c r="H513" s="4"/>
    </row>
    <row r="514" spans="2:8" ht="25.5" customHeight="1" x14ac:dyDescent="0.5">
      <c r="B514" s="4"/>
      <c r="C514" s="4"/>
      <c r="F514" s="4"/>
      <c r="H514" s="4"/>
    </row>
    <row r="515" spans="2:8" ht="25.5" customHeight="1" x14ac:dyDescent="0.5">
      <c r="B515" s="4"/>
      <c r="C515" s="4"/>
      <c r="F515" s="4"/>
      <c r="H515" s="4"/>
    </row>
    <row r="516" spans="2:8" ht="25.5" customHeight="1" x14ac:dyDescent="0.5">
      <c r="B516" s="4"/>
      <c r="C516" s="4"/>
      <c r="F516" s="4"/>
      <c r="H516" s="4"/>
    </row>
    <row r="517" spans="2:8" ht="25.5" customHeight="1" x14ac:dyDescent="0.5">
      <c r="B517" s="4"/>
      <c r="C517" s="4"/>
      <c r="F517" s="4"/>
      <c r="H517" s="4"/>
    </row>
    <row r="518" spans="2:8" ht="25.5" customHeight="1" x14ac:dyDescent="0.5">
      <c r="B518" s="4"/>
      <c r="C518" s="4"/>
      <c r="F518" s="4"/>
      <c r="H518" s="4"/>
    </row>
    <row r="519" spans="2:8" ht="25.5" customHeight="1" x14ac:dyDescent="0.5">
      <c r="B519" s="4"/>
      <c r="C519" s="4"/>
      <c r="F519" s="4"/>
      <c r="H519" s="4"/>
    </row>
    <row r="520" spans="2:8" ht="25.5" customHeight="1" x14ac:dyDescent="0.5">
      <c r="B520" s="4"/>
      <c r="C520" s="4"/>
      <c r="F520" s="4"/>
      <c r="H520" s="4"/>
    </row>
    <row r="521" spans="2:8" ht="25.5" customHeight="1" x14ac:dyDescent="0.5">
      <c r="B521" s="4"/>
      <c r="C521" s="4"/>
      <c r="F521" s="4"/>
      <c r="H521" s="4"/>
    </row>
    <row r="522" spans="2:8" ht="25.5" customHeight="1" x14ac:dyDescent="0.5">
      <c r="B522" s="4"/>
      <c r="C522" s="4"/>
      <c r="F522" s="4"/>
      <c r="H522" s="4"/>
    </row>
    <row r="523" spans="2:8" ht="25.5" customHeight="1" x14ac:dyDescent="0.5">
      <c r="B523" s="4"/>
      <c r="C523" s="4"/>
      <c r="F523" s="4"/>
      <c r="H523" s="4"/>
    </row>
    <row r="524" spans="2:8" ht="25.5" customHeight="1" x14ac:dyDescent="0.5">
      <c r="B524" s="4"/>
      <c r="C524" s="4"/>
      <c r="F524" s="4"/>
      <c r="H524" s="4"/>
    </row>
    <row r="525" spans="2:8" ht="25.5" customHeight="1" x14ac:dyDescent="0.5">
      <c r="B525" s="4"/>
      <c r="C525" s="4"/>
      <c r="F525" s="4"/>
      <c r="H525" s="4"/>
    </row>
    <row r="526" spans="2:8" ht="25.5" customHeight="1" x14ac:dyDescent="0.5">
      <c r="B526" s="4"/>
      <c r="C526" s="4"/>
      <c r="F526" s="4"/>
      <c r="H526" s="4"/>
    </row>
    <row r="527" spans="2:8" ht="25.5" customHeight="1" x14ac:dyDescent="0.5">
      <c r="B527" s="4"/>
      <c r="C527" s="4"/>
      <c r="F527" s="4"/>
      <c r="H527" s="4"/>
    </row>
    <row r="528" spans="2:8" ht="25.5" customHeight="1" x14ac:dyDescent="0.5">
      <c r="B528" s="4"/>
      <c r="C528" s="4"/>
      <c r="F528" s="4"/>
      <c r="H528" s="4"/>
    </row>
    <row r="529" spans="2:8" ht="25.5" customHeight="1" x14ac:dyDescent="0.5">
      <c r="B529" s="4"/>
      <c r="C529" s="4"/>
      <c r="F529" s="4"/>
      <c r="H529" s="4"/>
    </row>
    <row r="530" spans="2:8" ht="25.5" customHeight="1" x14ac:dyDescent="0.5">
      <c r="B530" s="4"/>
      <c r="C530" s="4"/>
      <c r="F530" s="4"/>
      <c r="H530" s="4"/>
    </row>
    <row r="531" spans="2:8" ht="25.5" customHeight="1" x14ac:dyDescent="0.5">
      <c r="B531" s="4"/>
      <c r="C531" s="4"/>
      <c r="F531" s="4"/>
      <c r="H531" s="4"/>
    </row>
    <row r="532" spans="2:8" ht="25.5" customHeight="1" x14ac:dyDescent="0.5">
      <c r="B532" s="4"/>
      <c r="C532" s="4"/>
      <c r="F532" s="4"/>
      <c r="H532" s="4"/>
    </row>
    <row r="533" spans="2:8" ht="25.5" customHeight="1" x14ac:dyDescent="0.5">
      <c r="B533" s="4"/>
      <c r="C533" s="4"/>
      <c r="F533" s="4"/>
      <c r="H533" s="4"/>
    </row>
    <row r="534" spans="2:8" ht="25.5" customHeight="1" x14ac:dyDescent="0.5">
      <c r="B534" s="4"/>
      <c r="C534" s="4"/>
      <c r="F534" s="4"/>
      <c r="H534" s="4"/>
    </row>
    <row r="535" spans="2:8" ht="25.5" customHeight="1" x14ac:dyDescent="0.5">
      <c r="B535" s="4"/>
      <c r="C535" s="4"/>
      <c r="F535" s="4"/>
      <c r="H535" s="4"/>
    </row>
    <row r="536" spans="2:8" ht="25.5" customHeight="1" x14ac:dyDescent="0.5">
      <c r="B536" s="4"/>
      <c r="C536" s="4"/>
      <c r="F536" s="4"/>
      <c r="H536" s="4"/>
    </row>
    <row r="537" spans="2:8" ht="25.5" customHeight="1" x14ac:dyDescent="0.5">
      <c r="B537" s="4"/>
      <c r="C537" s="4"/>
      <c r="F537" s="4"/>
      <c r="H537" s="4"/>
    </row>
    <row r="538" spans="2:8" ht="25.5" customHeight="1" x14ac:dyDescent="0.5">
      <c r="B538" s="4"/>
      <c r="C538" s="4"/>
      <c r="F538" s="4"/>
      <c r="H538" s="4"/>
    </row>
    <row r="539" spans="2:8" ht="25.5" customHeight="1" x14ac:dyDescent="0.5">
      <c r="B539" s="4"/>
      <c r="C539" s="4"/>
      <c r="F539" s="4"/>
      <c r="H539" s="4"/>
    </row>
    <row r="540" spans="2:8" ht="25.5" customHeight="1" x14ac:dyDescent="0.5">
      <c r="B540" s="4"/>
      <c r="C540" s="4"/>
      <c r="F540" s="4"/>
      <c r="H540" s="4"/>
    </row>
    <row r="541" spans="2:8" ht="25.5" customHeight="1" x14ac:dyDescent="0.5">
      <c r="B541" s="4"/>
      <c r="C541" s="4"/>
      <c r="F541" s="4"/>
      <c r="H541" s="4"/>
    </row>
    <row r="542" spans="2:8" ht="25.5" customHeight="1" x14ac:dyDescent="0.5">
      <c r="B542" s="4"/>
      <c r="C542" s="4"/>
      <c r="F542" s="4"/>
      <c r="H542" s="4"/>
    </row>
    <row r="543" spans="2:8" ht="25.5" customHeight="1" x14ac:dyDescent="0.5">
      <c r="B543" s="4"/>
      <c r="C543" s="4"/>
      <c r="F543" s="4"/>
      <c r="H543" s="4"/>
    </row>
    <row r="544" spans="2:8" ht="25.5" customHeight="1" x14ac:dyDescent="0.5">
      <c r="B544" s="4"/>
      <c r="C544" s="4"/>
      <c r="F544" s="4"/>
      <c r="H544" s="4"/>
    </row>
    <row r="545" spans="2:8" ht="25.5" customHeight="1" x14ac:dyDescent="0.5">
      <c r="B545" s="4"/>
      <c r="C545" s="4"/>
      <c r="F545" s="4"/>
      <c r="H545" s="4"/>
    </row>
    <row r="546" spans="2:8" ht="25.5" customHeight="1" x14ac:dyDescent="0.5">
      <c r="B546" s="4"/>
      <c r="C546" s="4"/>
      <c r="F546" s="4"/>
      <c r="H546" s="4"/>
    </row>
    <row r="547" spans="2:8" ht="25.5" customHeight="1" x14ac:dyDescent="0.5">
      <c r="B547" s="4"/>
      <c r="C547" s="4"/>
      <c r="F547" s="4"/>
      <c r="H547" s="4"/>
    </row>
    <row r="548" spans="2:8" ht="25.5" customHeight="1" x14ac:dyDescent="0.5">
      <c r="B548" s="4"/>
      <c r="C548" s="4"/>
      <c r="F548" s="4"/>
      <c r="H548" s="4"/>
    </row>
    <row r="549" spans="2:8" ht="25.5" customHeight="1" x14ac:dyDescent="0.5">
      <c r="B549" s="4"/>
      <c r="C549" s="4"/>
      <c r="F549" s="4"/>
      <c r="H549" s="4"/>
    </row>
    <row r="550" spans="2:8" ht="25.5" customHeight="1" x14ac:dyDescent="0.5">
      <c r="B550" s="4"/>
      <c r="C550" s="4"/>
      <c r="F550" s="4"/>
      <c r="H550" s="4"/>
    </row>
    <row r="551" spans="2:8" ht="25.5" customHeight="1" x14ac:dyDescent="0.5">
      <c r="B551" s="4"/>
      <c r="C551" s="4"/>
      <c r="F551" s="4"/>
      <c r="H551" s="4"/>
    </row>
    <row r="552" spans="2:8" ht="25.5" customHeight="1" x14ac:dyDescent="0.5">
      <c r="B552" s="4"/>
      <c r="C552" s="4"/>
      <c r="F552" s="4"/>
      <c r="H552" s="4"/>
    </row>
    <row r="553" spans="2:8" ht="25.5" customHeight="1" x14ac:dyDescent="0.5">
      <c r="B553" s="4"/>
      <c r="C553" s="4"/>
      <c r="F553" s="4"/>
      <c r="H553" s="4"/>
    </row>
    <row r="554" spans="2:8" ht="25.5" customHeight="1" x14ac:dyDescent="0.5">
      <c r="B554" s="4"/>
      <c r="C554" s="4"/>
      <c r="F554" s="4"/>
      <c r="H554" s="4"/>
    </row>
    <row r="555" spans="2:8" ht="25.5" customHeight="1" x14ac:dyDescent="0.5">
      <c r="B555" s="4"/>
      <c r="C555" s="4"/>
      <c r="F555" s="4"/>
      <c r="H555" s="4"/>
    </row>
    <row r="556" spans="2:8" ht="25.5" customHeight="1" x14ac:dyDescent="0.5">
      <c r="B556" s="4"/>
      <c r="C556" s="4"/>
      <c r="F556" s="4"/>
      <c r="H556" s="4"/>
    </row>
    <row r="557" spans="2:8" ht="25.5" customHeight="1" x14ac:dyDescent="0.5">
      <c r="B557" s="4"/>
      <c r="C557" s="4"/>
      <c r="F557" s="4"/>
      <c r="H557" s="4"/>
    </row>
    <row r="558" spans="2:8" ht="25.5" customHeight="1" x14ac:dyDescent="0.5">
      <c r="B558" s="4"/>
      <c r="C558" s="4"/>
      <c r="F558" s="4"/>
      <c r="H558" s="4"/>
    </row>
    <row r="559" spans="2:8" ht="25.5" customHeight="1" x14ac:dyDescent="0.5">
      <c r="B559" s="4"/>
      <c r="C559" s="4"/>
      <c r="F559" s="4"/>
      <c r="H559" s="4"/>
    </row>
    <row r="560" spans="2:8" ht="25.5" customHeight="1" x14ac:dyDescent="0.5">
      <c r="B560" s="4"/>
      <c r="C560" s="4"/>
      <c r="F560" s="4"/>
      <c r="H560" s="4"/>
    </row>
    <row r="561" spans="2:8" ht="25.5" customHeight="1" x14ac:dyDescent="0.5">
      <c r="B561" s="4"/>
      <c r="C561" s="4"/>
      <c r="F561" s="4"/>
      <c r="H561" s="4"/>
    </row>
    <row r="562" spans="2:8" ht="25.5" customHeight="1" x14ac:dyDescent="0.5">
      <c r="B562" s="4"/>
      <c r="C562" s="4"/>
      <c r="F562" s="4"/>
      <c r="H562" s="4"/>
    </row>
    <row r="563" spans="2:8" ht="25.5" customHeight="1" x14ac:dyDescent="0.5">
      <c r="B563" s="4"/>
      <c r="C563" s="4"/>
      <c r="F563" s="4"/>
      <c r="H563" s="4"/>
    </row>
    <row r="564" spans="2:8" ht="25.5" customHeight="1" x14ac:dyDescent="0.5">
      <c r="B564" s="4"/>
      <c r="C564" s="4"/>
      <c r="F564" s="4"/>
      <c r="H564" s="4"/>
    </row>
    <row r="565" spans="2:8" ht="25.5" customHeight="1" x14ac:dyDescent="0.5">
      <c r="B565" s="4"/>
      <c r="C565" s="4"/>
      <c r="F565" s="4"/>
      <c r="H565" s="4"/>
    </row>
    <row r="566" spans="2:8" ht="25.5" customHeight="1" x14ac:dyDescent="0.5">
      <c r="B566" s="4"/>
      <c r="C566" s="4"/>
      <c r="F566" s="4"/>
      <c r="H566" s="4"/>
    </row>
    <row r="567" spans="2:8" ht="25.5" customHeight="1" x14ac:dyDescent="0.5">
      <c r="B567" s="4"/>
      <c r="C567" s="4"/>
      <c r="F567" s="4"/>
      <c r="H567" s="4"/>
    </row>
    <row r="568" spans="2:8" ht="25.5" customHeight="1" x14ac:dyDescent="0.5">
      <c r="B568" s="4"/>
      <c r="C568" s="4"/>
      <c r="F568" s="4"/>
      <c r="H568" s="4"/>
    </row>
    <row r="569" spans="2:8" ht="25.5" customHeight="1" x14ac:dyDescent="0.5">
      <c r="B569" s="4"/>
      <c r="C569" s="4"/>
      <c r="F569" s="4"/>
      <c r="H569" s="4"/>
    </row>
    <row r="570" spans="2:8" ht="25.5" customHeight="1" x14ac:dyDescent="0.5">
      <c r="B570" s="4"/>
      <c r="C570" s="4"/>
      <c r="F570" s="4"/>
      <c r="H570" s="4"/>
    </row>
    <row r="571" spans="2:8" ht="25.5" customHeight="1" x14ac:dyDescent="0.5">
      <c r="B571" s="4"/>
      <c r="C571" s="4"/>
      <c r="F571" s="4"/>
      <c r="H571" s="4"/>
    </row>
    <row r="572" spans="2:8" ht="25.5" customHeight="1" x14ac:dyDescent="0.5">
      <c r="B572" s="4"/>
      <c r="C572" s="4"/>
      <c r="F572" s="4"/>
      <c r="H572" s="4"/>
    </row>
    <row r="573" spans="2:8" ht="25.5" customHeight="1" x14ac:dyDescent="0.5">
      <c r="B573" s="4"/>
      <c r="C573" s="4"/>
      <c r="F573" s="4"/>
      <c r="H573" s="4"/>
    </row>
    <row r="574" spans="2:8" ht="25.5" customHeight="1" x14ac:dyDescent="0.5">
      <c r="B574" s="4"/>
      <c r="C574" s="4"/>
      <c r="F574" s="4"/>
      <c r="H574" s="4"/>
    </row>
    <row r="575" spans="2:8" ht="25.5" customHeight="1" x14ac:dyDescent="0.5">
      <c r="B575" s="4"/>
      <c r="C575" s="4"/>
      <c r="F575" s="4"/>
      <c r="H575" s="4"/>
    </row>
    <row r="576" spans="2:8" ht="25.5" customHeight="1" x14ac:dyDescent="0.5">
      <c r="B576" s="4"/>
      <c r="C576" s="4"/>
      <c r="F576" s="4"/>
      <c r="H576" s="4"/>
    </row>
    <row r="577" spans="2:8" ht="25.5" customHeight="1" x14ac:dyDescent="0.5">
      <c r="B577" s="4"/>
      <c r="C577" s="4"/>
      <c r="F577" s="4"/>
      <c r="H577" s="4"/>
    </row>
    <row r="578" spans="2:8" ht="25.5" customHeight="1" x14ac:dyDescent="0.5">
      <c r="B578" s="4"/>
      <c r="C578" s="4"/>
      <c r="F578" s="4"/>
      <c r="H578" s="4"/>
    </row>
    <row r="579" spans="2:8" ht="25.5" customHeight="1" x14ac:dyDescent="0.5">
      <c r="B579" s="4"/>
      <c r="C579" s="4"/>
      <c r="F579" s="4"/>
      <c r="H579" s="4"/>
    </row>
    <row r="580" spans="2:8" ht="25.5" customHeight="1" x14ac:dyDescent="0.5">
      <c r="B580" s="4"/>
      <c r="C580" s="4"/>
      <c r="F580" s="4"/>
      <c r="H580" s="4"/>
    </row>
    <row r="581" spans="2:8" ht="25.5" customHeight="1" x14ac:dyDescent="0.5">
      <c r="B581" s="4"/>
      <c r="C581" s="4"/>
      <c r="F581" s="4"/>
      <c r="H581" s="4"/>
    </row>
    <row r="582" spans="2:8" ht="25.5" customHeight="1" x14ac:dyDescent="0.5">
      <c r="B582" s="4"/>
      <c r="C582" s="4"/>
      <c r="F582" s="4"/>
      <c r="H582" s="4"/>
    </row>
    <row r="583" spans="2:8" ht="25.5" customHeight="1" x14ac:dyDescent="0.5">
      <c r="B583" s="4"/>
      <c r="C583" s="4"/>
      <c r="F583" s="4"/>
      <c r="H583" s="4"/>
    </row>
    <row r="584" spans="2:8" ht="25.5" customHeight="1" x14ac:dyDescent="0.5">
      <c r="B584" s="4"/>
      <c r="C584" s="4"/>
      <c r="F584" s="4"/>
      <c r="H584" s="4"/>
    </row>
    <row r="585" spans="2:8" ht="25.5" customHeight="1" x14ac:dyDescent="0.5">
      <c r="B585" s="4"/>
      <c r="C585" s="4"/>
      <c r="F585" s="4"/>
      <c r="H585" s="4"/>
    </row>
    <row r="586" spans="2:8" ht="25.5" customHeight="1" x14ac:dyDescent="0.5">
      <c r="B586" s="4"/>
      <c r="C586" s="4"/>
      <c r="F586" s="4"/>
      <c r="H586" s="4"/>
    </row>
    <row r="587" spans="2:8" ht="25.5" customHeight="1" x14ac:dyDescent="0.5">
      <c r="B587" s="4"/>
      <c r="C587" s="4"/>
      <c r="F587" s="4"/>
      <c r="H587" s="4"/>
    </row>
    <row r="588" spans="2:8" ht="25.5" customHeight="1" x14ac:dyDescent="0.5">
      <c r="B588" s="4"/>
      <c r="C588" s="4"/>
      <c r="F588" s="4"/>
      <c r="H588" s="4"/>
    </row>
    <row r="589" spans="2:8" ht="25.5" customHeight="1" x14ac:dyDescent="0.5">
      <c r="B589" s="4"/>
      <c r="C589" s="4"/>
      <c r="F589" s="4"/>
      <c r="H589" s="4"/>
    </row>
    <row r="590" spans="2:8" ht="25.5" customHeight="1" x14ac:dyDescent="0.5">
      <c r="B590" s="4"/>
      <c r="C590" s="4"/>
      <c r="F590" s="4"/>
      <c r="H590" s="4"/>
    </row>
    <row r="591" spans="2:8" ht="25.5" customHeight="1" x14ac:dyDescent="0.5">
      <c r="B591" s="4"/>
      <c r="C591" s="4"/>
      <c r="F591" s="4"/>
      <c r="H591" s="4"/>
    </row>
    <row r="592" spans="2:8" ht="25.5" customHeight="1" x14ac:dyDescent="0.5">
      <c r="B592" s="4"/>
      <c r="C592" s="4"/>
      <c r="F592" s="4"/>
      <c r="H592" s="4"/>
    </row>
    <row r="593" spans="2:8" ht="25.5" customHeight="1" x14ac:dyDescent="0.5">
      <c r="B593" s="4"/>
      <c r="C593" s="4"/>
      <c r="F593" s="4"/>
      <c r="H593" s="4"/>
    </row>
    <row r="594" spans="2:8" ht="25.5" customHeight="1" x14ac:dyDescent="0.5">
      <c r="B594" s="4"/>
      <c r="C594" s="4"/>
      <c r="F594" s="4"/>
      <c r="H594" s="4"/>
    </row>
    <row r="595" spans="2:8" ht="25.5" customHeight="1" x14ac:dyDescent="0.5">
      <c r="B595" s="4"/>
      <c r="C595" s="4"/>
      <c r="F595" s="4"/>
      <c r="H595" s="4"/>
    </row>
    <row r="596" spans="2:8" ht="25.5" customHeight="1" x14ac:dyDescent="0.5">
      <c r="B596" s="4"/>
      <c r="C596" s="4"/>
      <c r="F596" s="4"/>
      <c r="H596" s="4"/>
    </row>
    <row r="597" spans="2:8" ht="25.5" customHeight="1" x14ac:dyDescent="0.5">
      <c r="B597" s="4"/>
      <c r="C597" s="4"/>
      <c r="F597" s="4"/>
      <c r="H597" s="4"/>
    </row>
    <row r="598" spans="2:8" ht="25.5" customHeight="1" x14ac:dyDescent="0.5">
      <c r="B598" s="4"/>
      <c r="C598" s="4"/>
      <c r="F598" s="4"/>
      <c r="H598" s="4"/>
    </row>
    <row r="599" spans="2:8" ht="25.5" customHeight="1" x14ac:dyDescent="0.5">
      <c r="B599" s="4"/>
      <c r="C599" s="4"/>
      <c r="F599" s="4"/>
      <c r="H599" s="4"/>
    </row>
    <row r="600" spans="2:8" ht="25.5" customHeight="1" x14ac:dyDescent="0.5">
      <c r="B600" s="4"/>
      <c r="C600" s="4"/>
      <c r="F600" s="4"/>
      <c r="H600" s="4"/>
    </row>
    <row r="601" spans="2:8" ht="25.5" customHeight="1" x14ac:dyDescent="0.5">
      <c r="B601" s="4"/>
      <c r="C601" s="4"/>
      <c r="F601" s="4"/>
      <c r="H601" s="4"/>
    </row>
    <row r="602" spans="2:8" ht="25.5" customHeight="1" x14ac:dyDescent="0.5">
      <c r="B602" s="4"/>
      <c r="C602" s="4"/>
      <c r="F602" s="4"/>
      <c r="H602" s="4"/>
    </row>
    <row r="603" spans="2:8" ht="25.5" customHeight="1" x14ac:dyDescent="0.5">
      <c r="B603" s="4"/>
      <c r="C603" s="4"/>
      <c r="F603" s="4"/>
      <c r="H603" s="4"/>
    </row>
    <row r="604" spans="2:8" ht="25.5" customHeight="1" x14ac:dyDescent="0.5">
      <c r="B604" s="4"/>
      <c r="C604" s="4"/>
      <c r="F604" s="4"/>
      <c r="H604" s="4"/>
    </row>
    <row r="605" spans="2:8" ht="25.5" customHeight="1" x14ac:dyDescent="0.5">
      <c r="B605" s="4"/>
      <c r="C605" s="4"/>
      <c r="F605" s="4"/>
      <c r="H605" s="4"/>
    </row>
    <row r="606" spans="2:8" ht="25.5" customHeight="1" x14ac:dyDescent="0.5">
      <c r="B606" s="4"/>
      <c r="C606" s="4"/>
      <c r="F606" s="4"/>
      <c r="H606" s="4"/>
    </row>
    <row r="607" spans="2:8" ht="25.5" customHeight="1" x14ac:dyDescent="0.5">
      <c r="B607" s="4"/>
      <c r="C607" s="4"/>
      <c r="F607" s="4"/>
      <c r="H607" s="4"/>
    </row>
    <row r="608" spans="2:8" ht="25.5" customHeight="1" x14ac:dyDescent="0.5">
      <c r="B608" s="4"/>
      <c r="C608" s="4"/>
      <c r="F608" s="4"/>
      <c r="H608" s="4"/>
    </row>
    <row r="609" spans="2:8" ht="25.5" customHeight="1" x14ac:dyDescent="0.5">
      <c r="B609" s="4"/>
      <c r="C609" s="4"/>
      <c r="F609" s="4"/>
      <c r="H609" s="4"/>
    </row>
    <row r="610" spans="2:8" ht="25.5" customHeight="1" x14ac:dyDescent="0.5">
      <c r="B610" s="4"/>
      <c r="C610" s="4"/>
      <c r="F610" s="4"/>
      <c r="H610" s="4"/>
    </row>
    <row r="611" spans="2:8" ht="25.5" customHeight="1" x14ac:dyDescent="0.5">
      <c r="B611" s="4"/>
      <c r="C611" s="4"/>
      <c r="F611" s="4"/>
      <c r="H611" s="4"/>
    </row>
    <row r="612" spans="2:8" ht="25.5" customHeight="1" x14ac:dyDescent="0.5">
      <c r="B612" s="4"/>
      <c r="C612" s="4"/>
      <c r="F612" s="4"/>
      <c r="H612" s="4"/>
    </row>
    <row r="613" spans="2:8" ht="25.5" customHeight="1" x14ac:dyDescent="0.5">
      <c r="B613" s="4"/>
      <c r="C613" s="4"/>
      <c r="F613" s="4"/>
      <c r="H613" s="4"/>
    </row>
    <row r="614" spans="2:8" ht="25.5" customHeight="1" x14ac:dyDescent="0.5">
      <c r="B614" s="4"/>
      <c r="C614" s="4"/>
      <c r="F614" s="4"/>
      <c r="H614" s="4"/>
    </row>
    <row r="615" spans="2:8" ht="25.5" customHeight="1" x14ac:dyDescent="0.5">
      <c r="B615" s="4"/>
      <c r="C615" s="4"/>
      <c r="F615" s="4"/>
      <c r="H615" s="4"/>
    </row>
    <row r="616" spans="2:8" ht="25.5" customHeight="1" x14ac:dyDescent="0.5">
      <c r="B616" s="4"/>
      <c r="C616" s="4"/>
      <c r="F616" s="4"/>
      <c r="H616" s="4"/>
    </row>
    <row r="617" spans="2:8" ht="25.5" customHeight="1" x14ac:dyDescent="0.5">
      <c r="B617" s="4"/>
      <c r="C617" s="4"/>
      <c r="F617" s="4"/>
      <c r="H617" s="4"/>
    </row>
    <row r="618" spans="2:8" ht="25.5" customHeight="1" x14ac:dyDescent="0.5">
      <c r="B618" s="4"/>
      <c r="C618" s="4"/>
      <c r="F618" s="4"/>
      <c r="H618" s="4"/>
    </row>
    <row r="619" spans="2:8" ht="25.5" customHeight="1" x14ac:dyDescent="0.5">
      <c r="B619" s="4"/>
      <c r="C619" s="4"/>
      <c r="F619" s="4"/>
      <c r="H619" s="4"/>
    </row>
    <row r="620" spans="2:8" ht="25.5" customHeight="1" x14ac:dyDescent="0.5">
      <c r="B620" s="4"/>
      <c r="C620" s="4"/>
      <c r="F620" s="4"/>
      <c r="H620" s="4"/>
    </row>
    <row r="621" spans="2:8" ht="25.5" customHeight="1" x14ac:dyDescent="0.5">
      <c r="B621" s="4"/>
      <c r="C621" s="4"/>
      <c r="F621" s="4"/>
      <c r="H621" s="4"/>
    </row>
    <row r="622" spans="2:8" ht="25.5" customHeight="1" x14ac:dyDescent="0.5">
      <c r="B622" s="4"/>
      <c r="C622" s="4"/>
      <c r="F622" s="4"/>
      <c r="H622" s="4"/>
    </row>
    <row r="623" spans="2:8" ht="25.5" customHeight="1" x14ac:dyDescent="0.5">
      <c r="B623" s="4"/>
      <c r="C623" s="4"/>
      <c r="F623" s="4"/>
      <c r="H623" s="4"/>
    </row>
    <row r="624" spans="2:8" ht="25.5" customHeight="1" x14ac:dyDescent="0.5">
      <c r="B624" s="4"/>
      <c r="C624" s="4"/>
      <c r="F624" s="4"/>
      <c r="H624" s="4"/>
    </row>
    <row r="625" spans="2:8" ht="25.5" customHeight="1" x14ac:dyDescent="0.5">
      <c r="B625" s="4"/>
      <c r="C625" s="4"/>
      <c r="F625" s="4"/>
      <c r="H625" s="4"/>
    </row>
    <row r="626" spans="2:8" ht="25.5" customHeight="1" x14ac:dyDescent="0.5">
      <c r="B626" s="4"/>
      <c r="C626" s="4"/>
      <c r="F626" s="4"/>
      <c r="H626" s="4"/>
    </row>
    <row r="627" spans="2:8" ht="25.5" customHeight="1" x14ac:dyDescent="0.5">
      <c r="B627" s="4"/>
      <c r="C627" s="4"/>
      <c r="F627" s="4"/>
      <c r="H627" s="4"/>
    </row>
    <row r="628" spans="2:8" ht="25.5" customHeight="1" x14ac:dyDescent="0.5">
      <c r="B628" s="4"/>
      <c r="C628" s="4"/>
      <c r="F628" s="4"/>
      <c r="H628" s="4"/>
    </row>
    <row r="629" spans="2:8" ht="25.5" customHeight="1" x14ac:dyDescent="0.5">
      <c r="B629" s="4"/>
      <c r="C629" s="4"/>
      <c r="F629" s="4"/>
      <c r="H629" s="4"/>
    </row>
    <row r="630" spans="2:8" ht="25.5" customHeight="1" x14ac:dyDescent="0.5">
      <c r="B630" s="4"/>
      <c r="C630" s="4"/>
      <c r="F630" s="4"/>
      <c r="H630" s="4"/>
    </row>
    <row r="631" spans="2:8" ht="25.5" customHeight="1" x14ac:dyDescent="0.5">
      <c r="B631" s="4"/>
      <c r="C631" s="4"/>
      <c r="F631" s="4"/>
      <c r="H631" s="4"/>
    </row>
    <row r="632" spans="2:8" ht="25.5" customHeight="1" x14ac:dyDescent="0.5">
      <c r="B632" s="4"/>
      <c r="C632" s="4"/>
      <c r="F632" s="4"/>
      <c r="H632" s="4"/>
    </row>
    <row r="633" spans="2:8" ht="25.5" customHeight="1" x14ac:dyDescent="0.5">
      <c r="B633" s="4"/>
      <c r="C633" s="4"/>
      <c r="F633" s="4"/>
      <c r="H633" s="4"/>
    </row>
    <row r="634" spans="2:8" ht="25.5" customHeight="1" x14ac:dyDescent="0.5">
      <c r="B634" s="4"/>
      <c r="C634" s="4"/>
      <c r="F634" s="4"/>
      <c r="H634" s="4"/>
    </row>
    <row r="635" spans="2:8" ht="25.5" customHeight="1" x14ac:dyDescent="0.5">
      <c r="B635" s="4"/>
      <c r="C635" s="4"/>
      <c r="F635" s="4"/>
      <c r="H635" s="4"/>
    </row>
    <row r="636" spans="2:8" ht="25.5" customHeight="1" x14ac:dyDescent="0.5">
      <c r="B636" s="4"/>
      <c r="C636" s="4"/>
      <c r="F636" s="4"/>
      <c r="H636" s="4"/>
    </row>
    <row r="637" spans="2:8" ht="25.5" customHeight="1" x14ac:dyDescent="0.5">
      <c r="B637" s="4"/>
      <c r="C637" s="4"/>
      <c r="F637" s="4"/>
      <c r="H637" s="4"/>
    </row>
    <row r="638" spans="2:8" ht="25.5" customHeight="1" x14ac:dyDescent="0.5">
      <c r="B638" s="4"/>
      <c r="C638" s="4"/>
      <c r="F638" s="4"/>
      <c r="H638" s="4"/>
    </row>
    <row r="639" spans="2:8" ht="25.5" customHeight="1" x14ac:dyDescent="0.5">
      <c r="B639" s="4"/>
      <c r="C639" s="4"/>
      <c r="F639" s="4"/>
      <c r="H639" s="4"/>
    </row>
    <row r="640" spans="2:8" ht="25.5" customHeight="1" x14ac:dyDescent="0.5">
      <c r="B640" s="4"/>
      <c r="C640" s="4"/>
      <c r="F640" s="4"/>
      <c r="H640" s="4"/>
    </row>
    <row r="641" spans="2:8" ht="25.5" customHeight="1" x14ac:dyDescent="0.5">
      <c r="B641" s="4"/>
      <c r="C641" s="4"/>
      <c r="F641" s="4"/>
      <c r="H641" s="4"/>
    </row>
    <row r="642" spans="2:8" ht="25.5" customHeight="1" x14ac:dyDescent="0.5">
      <c r="B642" s="4"/>
      <c r="C642" s="4"/>
      <c r="F642" s="4"/>
      <c r="H642" s="4"/>
    </row>
    <row r="643" spans="2:8" ht="25.5" customHeight="1" x14ac:dyDescent="0.5">
      <c r="B643" s="4"/>
      <c r="C643" s="4"/>
      <c r="F643" s="4"/>
      <c r="H643" s="4"/>
    </row>
    <row r="644" spans="2:8" ht="25.5" customHeight="1" x14ac:dyDescent="0.5">
      <c r="B644" s="4"/>
      <c r="C644" s="4"/>
      <c r="F644" s="4"/>
      <c r="H644" s="4"/>
    </row>
    <row r="645" spans="2:8" ht="25.5" customHeight="1" x14ac:dyDescent="0.5">
      <c r="B645" s="4"/>
      <c r="C645" s="4"/>
      <c r="F645" s="4"/>
      <c r="H645" s="4"/>
    </row>
    <row r="646" spans="2:8" ht="25.5" customHeight="1" x14ac:dyDescent="0.5">
      <c r="B646" s="4"/>
      <c r="C646" s="4"/>
      <c r="F646" s="4"/>
      <c r="H646" s="4"/>
    </row>
    <row r="647" spans="2:8" ht="25.5" customHeight="1" x14ac:dyDescent="0.5">
      <c r="B647" s="4"/>
      <c r="C647" s="4"/>
      <c r="F647" s="4"/>
      <c r="H647" s="4"/>
    </row>
    <row r="648" spans="2:8" ht="25.5" customHeight="1" x14ac:dyDescent="0.5">
      <c r="B648" s="4"/>
      <c r="C648" s="4"/>
      <c r="F648" s="4"/>
      <c r="H648" s="4"/>
    </row>
    <row r="649" spans="2:8" ht="25.5" customHeight="1" x14ac:dyDescent="0.5">
      <c r="B649" s="4"/>
      <c r="C649" s="4"/>
      <c r="F649" s="4"/>
      <c r="H649" s="4"/>
    </row>
    <row r="650" spans="2:8" ht="25.5" customHeight="1" x14ac:dyDescent="0.5">
      <c r="B650" s="4"/>
      <c r="C650" s="4"/>
      <c r="F650" s="4"/>
      <c r="H650" s="4"/>
    </row>
    <row r="651" spans="2:8" ht="25.5" customHeight="1" x14ac:dyDescent="0.5">
      <c r="B651" s="4"/>
      <c r="C651" s="4"/>
      <c r="F651" s="4"/>
      <c r="H651" s="4"/>
    </row>
    <row r="652" spans="2:8" ht="25.5" customHeight="1" x14ac:dyDescent="0.5">
      <c r="B652" s="4"/>
      <c r="C652" s="4"/>
      <c r="F652" s="4"/>
      <c r="H652" s="4"/>
    </row>
    <row r="653" spans="2:8" ht="25.5" customHeight="1" x14ac:dyDescent="0.5">
      <c r="B653" s="4"/>
      <c r="C653" s="4"/>
      <c r="F653" s="4"/>
      <c r="H653" s="4"/>
    </row>
    <row r="654" spans="2:8" ht="25.5" customHeight="1" x14ac:dyDescent="0.5">
      <c r="B654" s="4"/>
      <c r="C654" s="4"/>
      <c r="F654" s="4"/>
      <c r="H654" s="4"/>
    </row>
    <row r="655" spans="2:8" ht="25.5" customHeight="1" x14ac:dyDescent="0.5">
      <c r="B655" s="4"/>
      <c r="C655" s="4"/>
      <c r="F655" s="4"/>
      <c r="H655" s="4"/>
    </row>
    <row r="656" spans="2:8" ht="25.5" customHeight="1" x14ac:dyDescent="0.5">
      <c r="B656" s="4"/>
      <c r="C656" s="4"/>
      <c r="F656" s="4"/>
      <c r="H656" s="4"/>
    </row>
    <row r="657" spans="2:8" ht="25.5" customHeight="1" x14ac:dyDescent="0.5">
      <c r="B657" s="4"/>
      <c r="C657" s="4"/>
      <c r="F657" s="4"/>
      <c r="H657" s="4"/>
    </row>
    <row r="658" spans="2:8" ht="25.5" customHeight="1" x14ac:dyDescent="0.5">
      <c r="B658" s="4"/>
      <c r="C658" s="4"/>
      <c r="F658" s="4"/>
      <c r="H658" s="4"/>
    </row>
    <row r="659" spans="2:8" ht="25.5" customHeight="1" x14ac:dyDescent="0.5">
      <c r="B659" s="4"/>
      <c r="C659" s="4"/>
      <c r="F659" s="4"/>
      <c r="H659" s="4"/>
    </row>
    <row r="660" spans="2:8" ht="25.5" customHeight="1" x14ac:dyDescent="0.5">
      <c r="B660" s="4"/>
      <c r="C660" s="4"/>
      <c r="F660" s="4"/>
      <c r="H660" s="4"/>
    </row>
    <row r="661" spans="2:8" ht="25.5" customHeight="1" x14ac:dyDescent="0.5">
      <c r="B661" s="4"/>
      <c r="C661" s="4"/>
      <c r="F661" s="4"/>
      <c r="H661" s="4"/>
    </row>
    <row r="662" spans="2:8" ht="25.5" customHeight="1" x14ac:dyDescent="0.5">
      <c r="B662" s="4"/>
      <c r="C662" s="4"/>
      <c r="F662" s="4"/>
      <c r="H662" s="4"/>
    </row>
    <row r="663" spans="2:8" ht="25.5" customHeight="1" x14ac:dyDescent="0.5">
      <c r="B663" s="4"/>
      <c r="C663" s="4"/>
      <c r="F663" s="4"/>
      <c r="H663" s="4"/>
    </row>
    <row r="664" spans="2:8" ht="25.5" customHeight="1" x14ac:dyDescent="0.5">
      <c r="B664" s="4"/>
      <c r="C664" s="4"/>
      <c r="F664" s="4"/>
      <c r="H664" s="4"/>
    </row>
    <row r="665" spans="2:8" ht="25.5" customHeight="1" x14ac:dyDescent="0.5">
      <c r="B665" s="4"/>
      <c r="C665" s="4"/>
      <c r="F665" s="4"/>
      <c r="H665" s="4"/>
    </row>
    <row r="666" spans="2:8" ht="25.5" customHeight="1" x14ac:dyDescent="0.5">
      <c r="B666" s="4"/>
      <c r="C666" s="4"/>
      <c r="F666" s="4"/>
      <c r="H666" s="4"/>
    </row>
    <row r="667" spans="2:8" ht="25.5" customHeight="1" x14ac:dyDescent="0.5">
      <c r="B667" s="4"/>
      <c r="C667" s="4"/>
      <c r="F667" s="4"/>
      <c r="H667" s="4"/>
    </row>
    <row r="668" spans="2:8" ht="25.5" customHeight="1" x14ac:dyDescent="0.5">
      <c r="B668" s="4"/>
      <c r="C668" s="4"/>
      <c r="F668" s="4"/>
      <c r="H668" s="4"/>
    </row>
    <row r="669" spans="2:8" ht="25.5" customHeight="1" x14ac:dyDescent="0.5">
      <c r="B669" s="4"/>
      <c r="C669" s="4"/>
      <c r="F669" s="4"/>
      <c r="H669" s="4"/>
    </row>
    <row r="670" spans="2:8" ht="25.5" customHeight="1" x14ac:dyDescent="0.5">
      <c r="B670" s="4"/>
      <c r="C670" s="4"/>
      <c r="F670" s="4"/>
      <c r="H670" s="4"/>
    </row>
    <row r="671" spans="2:8" ht="25.5" customHeight="1" x14ac:dyDescent="0.5">
      <c r="B671" s="4"/>
      <c r="C671" s="4"/>
      <c r="F671" s="4"/>
      <c r="H671" s="4"/>
    </row>
    <row r="672" spans="2:8" ht="25.5" customHeight="1" x14ac:dyDescent="0.5">
      <c r="B672" s="4"/>
      <c r="C672" s="4"/>
      <c r="F672" s="4"/>
      <c r="H672" s="4"/>
    </row>
    <row r="673" spans="2:8" ht="25.5" customHeight="1" x14ac:dyDescent="0.5">
      <c r="B673" s="4"/>
      <c r="C673" s="4"/>
      <c r="F673" s="4"/>
      <c r="H673" s="4"/>
    </row>
    <row r="674" spans="2:8" ht="25.5" customHeight="1" x14ac:dyDescent="0.5">
      <c r="B674" s="4"/>
      <c r="C674" s="4"/>
      <c r="F674" s="4"/>
      <c r="H674" s="4"/>
    </row>
    <row r="675" spans="2:8" ht="25.5" customHeight="1" x14ac:dyDescent="0.5">
      <c r="B675" s="4"/>
      <c r="C675" s="4"/>
      <c r="F675" s="4"/>
      <c r="H675" s="4"/>
    </row>
    <row r="676" spans="2:8" ht="25.5" customHeight="1" x14ac:dyDescent="0.5">
      <c r="B676" s="4"/>
      <c r="C676" s="4"/>
      <c r="F676" s="4"/>
      <c r="H676" s="4"/>
    </row>
    <row r="677" spans="2:8" ht="25.5" customHeight="1" x14ac:dyDescent="0.5">
      <c r="B677" s="4"/>
      <c r="C677" s="4"/>
      <c r="F677" s="4"/>
      <c r="H677" s="4"/>
    </row>
    <row r="678" spans="2:8" ht="25.5" customHeight="1" x14ac:dyDescent="0.5">
      <c r="B678" s="4"/>
      <c r="C678" s="4"/>
      <c r="F678" s="4"/>
      <c r="H678" s="4"/>
    </row>
    <row r="679" spans="2:8" ht="25.5" customHeight="1" x14ac:dyDescent="0.5">
      <c r="B679" s="4"/>
      <c r="C679" s="4"/>
      <c r="F679" s="4"/>
      <c r="H679" s="4"/>
    </row>
    <row r="680" spans="2:8" ht="25.5" customHeight="1" x14ac:dyDescent="0.5">
      <c r="B680" s="4"/>
      <c r="C680" s="4"/>
      <c r="F680" s="4"/>
      <c r="H680" s="4"/>
    </row>
    <row r="681" spans="2:8" ht="25.5" customHeight="1" x14ac:dyDescent="0.5">
      <c r="B681" s="4"/>
      <c r="C681" s="4"/>
      <c r="F681" s="4"/>
      <c r="H681" s="4"/>
    </row>
    <row r="682" spans="2:8" ht="25.5" customHeight="1" x14ac:dyDescent="0.5">
      <c r="B682" s="4"/>
      <c r="C682" s="4"/>
      <c r="F682" s="4"/>
      <c r="H682" s="4"/>
    </row>
    <row r="683" spans="2:8" ht="25.5" customHeight="1" x14ac:dyDescent="0.5">
      <c r="B683" s="4"/>
      <c r="C683" s="4"/>
      <c r="F683" s="4"/>
      <c r="H683" s="4"/>
    </row>
    <row r="684" spans="2:8" ht="25.5" customHeight="1" x14ac:dyDescent="0.5">
      <c r="B684" s="4"/>
      <c r="C684" s="4"/>
      <c r="F684" s="4"/>
      <c r="H684" s="4"/>
    </row>
    <row r="685" spans="2:8" ht="25.5" customHeight="1" x14ac:dyDescent="0.5">
      <c r="B685" s="4"/>
      <c r="C685" s="4"/>
      <c r="F685" s="4"/>
      <c r="H685" s="4"/>
    </row>
    <row r="686" spans="2:8" ht="25.5" customHeight="1" x14ac:dyDescent="0.5">
      <c r="B686" s="4"/>
      <c r="C686" s="4"/>
      <c r="F686" s="4"/>
      <c r="H686" s="4"/>
    </row>
    <row r="687" spans="2:8" ht="25.5" customHeight="1" x14ac:dyDescent="0.5">
      <c r="B687" s="4"/>
      <c r="C687" s="4"/>
      <c r="F687" s="4"/>
      <c r="H687" s="4"/>
    </row>
    <row r="688" spans="2:8" ht="25.5" customHeight="1" x14ac:dyDescent="0.5">
      <c r="B688" s="4"/>
      <c r="C688" s="4"/>
      <c r="F688" s="4"/>
      <c r="H688" s="4"/>
    </row>
    <row r="689" spans="2:8" ht="25.5" customHeight="1" x14ac:dyDescent="0.5">
      <c r="B689" s="4"/>
      <c r="C689" s="4"/>
      <c r="F689" s="4"/>
      <c r="H689" s="4"/>
    </row>
    <row r="690" spans="2:8" ht="25.5" customHeight="1" x14ac:dyDescent="0.5">
      <c r="B690" s="4"/>
      <c r="C690" s="4"/>
      <c r="F690" s="4"/>
      <c r="H690" s="4"/>
    </row>
    <row r="691" spans="2:8" ht="25.5" customHeight="1" x14ac:dyDescent="0.5">
      <c r="B691" s="4"/>
      <c r="C691" s="4"/>
      <c r="F691" s="4"/>
      <c r="H691" s="4"/>
    </row>
    <row r="692" spans="2:8" ht="25.5" customHeight="1" x14ac:dyDescent="0.5">
      <c r="B692" s="4"/>
      <c r="C692" s="4"/>
      <c r="F692" s="4"/>
      <c r="H692" s="4"/>
    </row>
    <row r="693" spans="2:8" ht="25.5" customHeight="1" x14ac:dyDescent="0.5">
      <c r="B693" s="4"/>
      <c r="C693" s="4"/>
      <c r="F693" s="4"/>
      <c r="H693" s="4"/>
    </row>
    <row r="694" spans="2:8" ht="25.5" customHeight="1" x14ac:dyDescent="0.5">
      <c r="B694" s="4"/>
      <c r="C694" s="4"/>
      <c r="F694" s="4"/>
      <c r="H694" s="4"/>
    </row>
    <row r="695" spans="2:8" ht="25.5" customHeight="1" x14ac:dyDescent="0.5">
      <c r="B695" s="4"/>
      <c r="C695" s="4"/>
      <c r="F695" s="4"/>
      <c r="H695" s="4"/>
    </row>
    <row r="696" spans="2:8" ht="25.5" customHeight="1" x14ac:dyDescent="0.5">
      <c r="B696" s="4"/>
      <c r="C696" s="4"/>
      <c r="F696" s="4"/>
      <c r="H696" s="4"/>
    </row>
    <row r="697" spans="2:8" ht="25.5" customHeight="1" x14ac:dyDescent="0.5">
      <c r="B697" s="4"/>
      <c r="C697" s="4"/>
      <c r="F697" s="4"/>
      <c r="H697" s="4"/>
    </row>
    <row r="698" spans="2:8" ht="25.5" customHeight="1" x14ac:dyDescent="0.5">
      <c r="B698" s="4"/>
      <c r="C698" s="4"/>
      <c r="F698" s="4"/>
      <c r="H698" s="4"/>
    </row>
    <row r="699" spans="2:8" ht="25.5" customHeight="1" x14ac:dyDescent="0.5">
      <c r="B699" s="4"/>
      <c r="C699" s="4"/>
      <c r="F699" s="4"/>
      <c r="H699" s="4"/>
    </row>
    <row r="700" spans="2:8" ht="25.5" customHeight="1" x14ac:dyDescent="0.5">
      <c r="B700" s="4"/>
      <c r="C700" s="4"/>
      <c r="F700" s="4"/>
      <c r="H700" s="4"/>
    </row>
    <row r="701" spans="2:8" ht="25.5" customHeight="1" x14ac:dyDescent="0.5">
      <c r="B701" s="4"/>
      <c r="C701" s="4"/>
      <c r="F701" s="4"/>
      <c r="H701" s="4"/>
    </row>
    <row r="702" spans="2:8" ht="25.5" customHeight="1" x14ac:dyDescent="0.5">
      <c r="B702" s="4"/>
      <c r="C702" s="4"/>
      <c r="F702" s="4"/>
      <c r="H702" s="4"/>
    </row>
    <row r="703" spans="2:8" ht="25.5" customHeight="1" x14ac:dyDescent="0.5">
      <c r="B703" s="4"/>
      <c r="C703" s="4"/>
      <c r="F703" s="4"/>
      <c r="H703" s="4"/>
    </row>
    <row r="704" spans="2:8" ht="25.5" customHeight="1" x14ac:dyDescent="0.5">
      <c r="B704" s="4"/>
      <c r="C704" s="4"/>
      <c r="F704" s="4"/>
      <c r="H704" s="4"/>
    </row>
    <row r="705" spans="2:8" ht="25.5" customHeight="1" x14ac:dyDescent="0.5">
      <c r="B705" s="4"/>
      <c r="C705" s="4"/>
      <c r="F705" s="4"/>
      <c r="H705" s="4"/>
    </row>
    <row r="706" spans="2:8" ht="25.5" customHeight="1" x14ac:dyDescent="0.5">
      <c r="B706" s="4"/>
      <c r="C706" s="4"/>
      <c r="F706" s="4"/>
      <c r="H706" s="4"/>
    </row>
    <row r="707" spans="2:8" ht="25.5" customHeight="1" x14ac:dyDescent="0.5">
      <c r="B707" s="4"/>
      <c r="C707" s="4"/>
      <c r="F707" s="4"/>
      <c r="H707" s="4"/>
    </row>
    <row r="708" spans="2:8" ht="25.5" customHeight="1" x14ac:dyDescent="0.5">
      <c r="B708" s="4"/>
      <c r="C708" s="4"/>
      <c r="F708" s="4"/>
      <c r="H708" s="4"/>
    </row>
    <row r="709" spans="2:8" ht="25.5" customHeight="1" x14ac:dyDescent="0.5">
      <c r="B709" s="4"/>
      <c r="C709" s="4"/>
      <c r="F709" s="4"/>
      <c r="H709" s="4"/>
    </row>
    <row r="710" spans="2:8" ht="25.5" customHeight="1" x14ac:dyDescent="0.5">
      <c r="B710" s="4"/>
      <c r="C710" s="4"/>
      <c r="F710" s="4"/>
      <c r="H710" s="4"/>
    </row>
    <row r="711" spans="2:8" ht="25.5" customHeight="1" x14ac:dyDescent="0.5">
      <c r="B711" s="4"/>
      <c r="C711" s="4"/>
      <c r="F711" s="4"/>
      <c r="H711" s="4"/>
    </row>
    <row r="712" spans="2:8" ht="25.5" customHeight="1" x14ac:dyDescent="0.5">
      <c r="B712" s="4"/>
      <c r="C712" s="4"/>
      <c r="F712" s="4"/>
      <c r="H712" s="4"/>
    </row>
    <row r="713" spans="2:8" ht="25.5" customHeight="1" x14ac:dyDescent="0.5">
      <c r="B713" s="4"/>
      <c r="C713" s="4"/>
      <c r="F713" s="4"/>
      <c r="H713" s="4"/>
    </row>
    <row r="714" spans="2:8" ht="25.5" customHeight="1" x14ac:dyDescent="0.5">
      <c r="B714" s="4"/>
      <c r="C714" s="4"/>
      <c r="F714" s="4"/>
      <c r="H714" s="4"/>
    </row>
    <row r="715" spans="2:8" ht="25.5" customHeight="1" x14ac:dyDescent="0.5">
      <c r="B715" s="4"/>
      <c r="C715" s="4"/>
      <c r="F715" s="4"/>
      <c r="H715" s="4"/>
    </row>
    <row r="716" spans="2:8" ht="25.5" customHeight="1" x14ac:dyDescent="0.5">
      <c r="B716" s="4"/>
      <c r="C716" s="4"/>
      <c r="F716" s="4"/>
      <c r="H716" s="4"/>
    </row>
    <row r="717" spans="2:8" ht="25.5" customHeight="1" x14ac:dyDescent="0.5">
      <c r="B717" s="4"/>
      <c r="C717" s="4"/>
      <c r="F717" s="4"/>
      <c r="H717" s="4"/>
    </row>
    <row r="718" spans="2:8" ht="25.5" customHeight="1" x14ac:dyDescent="0.5">
      <c r="B718" s="4"/>
      <c r="C718" s="4"/>
      <c r="F718" s="4"/>
      <c r="H718" s="4"/>
    </row>
    <row r="719" spans="2:8" ht="25.5" customHeight="1" x14ac:dyDescent="0.5">
      <c r="B719" s="4"/>
      <c r="C719" s="4"/>
      <c r="F719" s="4"/>
      <c r="H719" s="4"/>
    </row>
    <row r="720" spans="2:8" ht="25.5" customHeight="1" x14ac:dyDescent="0.5">
      <c r="B720" s="4"/>
      <c r="C720" s="4"/>
      <c r="F720" s="4"/>
      <c r="H720" s="4"/>
    </row>
    <row r="721" spans="2:8" ht="25.5" customHeight="1" x14ac:dyDescent="0.5">
      <c r="B721" s="4"/>
      <c r="C721" s="4"/>
      <c r="F721" s="4"/>
      <c r="H721" s="4"/>
    </row>
    <row r="722" spans="2:8" ht="25.5" customHeight="1" x14ac:dyDescent="0.5">
      <c r="B722" s="4"/>
      <c r="C722" s="4"/>
      <c r="F722" s="4"/>
      <c r="H722" s="4"/>
    </row>
    <row r="723" spans="2:8" ht="25.5" customHeight="1" x14ac:dyDescent="0.5">
      <c r="B723" s="4"/>
      <c r="C723" s="4"/>
      <c r="F723" s="4"/>
      <c r="H723" s="4"/>
    </row>
    <row r="724" spans="2:8" ht="25.5" customHeight="1" x14ac:dyDescent="0.5">
      <c r="B724" s="4"/>
      <c r="C724" s="4"/>
      <c r="F724" s="4"/>
      <c r="H724" s="4"/>
    </row>
    <row r="725" spans="2:8" ht="25.5" customHeight="1" x14ac:dyDescent="0.5">
      <c r="B725" s="4"/>
      <c r="C725" s="4"/>
      <c r="F725" s="4"/>
      <c r="H725" s="4"/>
    </row>
    <row r="726" spans="2:8" ht="25.5" customHeight="1" x14ac:dyDescent="0.5">
      <c r="B726" s="4"/>
      <c r="C726" s="4"/>
      <c r="F726" s="4"/>
      <c r="H726" s="4"/>
    </row>
    <row r="727" spans="2:8" ht="25.5" customHeight="1" x14ac:dyDescent="0.5">
      <c r="B727" s="4"/>
      <c r="C727" s="4"/>
      <c r="F727" s="4"/>
      <c r="H727" s="4"/>
    </row>
    <row r="728" spans="2:8" ht="25.5" customHeight="1" x14ac:dyDescent="0.5">
      <c r="B728" s="4"/>
      <c r="C728" s="4"/>
      <c r="F728" s="4"/>
      <c r="H728" s="4"/>
    </row>
    <row r="729" spans="2:8" ht="25.5" customHeight="1" x14ac:dyDescent="0.5">
      <c r="B729" s="4"/>
      <c r="C729" s="4"/>
      <c r="F729" s="4"/>
      <c r="H729" s="4"/>
    </row>
    <row r="730" spans="2:8" ht="25.5" customHeight="1" x14ac:dyDescent="0.5">
      <c r="B730" s="4"/>
      <c r="C730" s="4"/>
      <c r="F730" s="4"/>
      <c r="H730" s="4"/>
    </row>
    <row r="731" spans="2:8" ht="25.5" customHeight="1" x14ac:dyDescent="0.5">
      <c r="B731" s="4"/>
      <c r="C731" s="4"/>
      <c r="F731" s="4"/>
      <c r="H731" s="4"/>
    </row>
    <row r="732" spans="2:8" ht="25.5" customHeight="1" x14ac:dyDescent="0.5">
      <c r="B732" s="4"/>
      <c r="C732" s="4"/>
      <c r="F732" s="4"/>
      <c r="H732" s="4"/>
    </row>
    <row r="733" spans="2:8" ht="25.5" customHeight="1" x14ac:dyDescent="0.5">
      <c r="B733" s="4"/>
      <c r="C733" s="4"/>
      <c r="F733" s="4"/>
      <c r="H733" s="4"/>
    </row>
    <row r="734" spans="2:8" ht="25.5" customHeight="1" x14ac:dyDescent="0.5">
      <c r="B734" s="4"/>
      <c r="C734" s="4"/>
      <c r="F734" s="4"/>
      <c r="H734" s="4"/>
    </row>
    <row r="735" spans="2:8" ht="25.5" customHeight="1" x14ac:dyDescent="0.5">
      <c r="B735" s="4"/>
      <c r="C735" s="4"/>
      <c r="F735" s="4"/>
      <c r="H735" s="4"/>
    </row>
    <row r="736" spans="2:8" ht="25.5" customHeight="1" x14ac:dyDescent="0.5">
      <c r="B736" s="4"/>
      <c r="C736" s="4"/>
      <c r="F736" s="4"/>
      <c r="H736" s="4"/>
    </row>
    <row r="737" spans="2:8" ht="25.5" customHeight="1" x14ac:dyDescent="0.5">
      <c r="B737" s="4"/>
      <c r="C737" s="4"/>
      <c r="F737" s="4"/>
      <c r="H737" s="4"/>
    </row>
    <row r="738" spans="2:8" ht="25.5" customHeight="1" x14ac:dyDescent="0.5">
      <c r="B738" s="4"/>
      <c r="C738" s="4"/>
      <c r="F738" s="4"/>
      <c r="H738" s="4"/>
    </row>
    <row r="739" spans="2:8" ht="25.5" customHeight="1" x14ac:dyDescent="0.5">
      <c r="B739" s="4"/>
      <c r="C739" s="4"/>
      <c r="F739" s="4"/>
      <c r="H739" s="4"/>
    </row>
    <row r="740" spans="2:8" ht="25.5" customHeight="1" x14ac:dyDescent="0.5">
      <c r="B740" s="4"/>
      <c r="C740" s="4"/>
      <c r="F740" s="4"/>
      <c r="H740" s="4"/>
    </row>
    <row r="741" spans="2:8" ht="25.5" customHeight="1" x14ac:dyDescent="0.5">
      <c r="B741" s="4"/>
      <c r="C741" s="4"/>
      <c r="F741" s="4"/>
      <c r="H741" s="4"/>
    </row>
    <row r="742" spans="2:8" ht="25.5" customHeight="1" x14ac:dyDescent="0.5">
      <c r="B742" s="4"/>
      <c r="C742" s="4"/>
      <c r="F742" s="4"/>
      <c r="H742" s="4"/>
    </row>
    <row r="743" spans="2:8" ht="25.5" customHeight="1" x14ac:dyDescent="0.5">
      <c r="B743" s="4"/>
      <c r="C743" s="4"/>
      <c r="F743" s="4"/>
      <c r="H743" s="4"/>
    </row>
    <row r="744" spans="2:8" ht="25.5" customHeight="1" x14ac:dyDescent="0.5">
      <c r="B744" s="4"/>
      <c r="C744" s="4"/>
      <c r="F744" s="4"/>
      <c r="H744" s="4"/>
    </row>
    <row r="745" spans="2:8" ht="25.5" customHeight="1" x14ac:dyDescent="0.5">
      <c r="B745" s="4"/>
      <c r="C745" s="4"/>
      <c r="F745" s="4"/>
      <c r="H745" s="4"/>
    </row>
    <row r="746" spans="2:8" ht="25.5" customHeight="1" x14ac:dyDescent="0.5">
      <c r="B746" s="4"/>
      <c r="C746" s="4"/>
      <c r="F746" s="4"/>
      <c r="H746" s="4"/>
    </row>
    <row r="747" spans="2:8" ht="25.5" customHeight="1" x14ac:dyDescent="0.5">
      <c r="B747" s="4"/>
      <c r="C747" s="4"/>
      <c r="F747" s="4"/>
      <c r="H747" s="4"/>
    </row>
    <row r="748" spans="2:8" ht="25.5" customHeight="1" x14ac:dyDescent="0.5">
      <c r="B748" s="4"/>
      <c r="C748" s="4"/>
      <c r="F748" s="4"/>
      <c r="H748" s="4"/>
    </row>
    <row r="749" spans="2:8" ht="25.5" customHeight="1" x14ac:dyDescent="0.5">
      <c r="B749" s="4"/>
      <c r="C749" s="4"/>
      <c r="F749" s="4"/>
      <c r="H749" s="4"/>
    </row>
    <row r="750" spans="2:8" ht="25.5" customHeight="1" x14ac:dyDescent="0.5">
      <c r="B750" s="4"/>
      <c r="C750" s="4"/>
      <c r="F750" s="4"/>
      <c r="H750" s="4"/>
    </row>
    <row r="751" spans="2:8" ht="25.5" customHeight="1" x14ac:dyDescent="0.5">
      <c r="B751" s="4"/>
      <c r="C751" s="4"/>
      <c r="F751" s="4"/>
      <c r="H751" s="4"/>
    </row>
    <row r="752" spans="2:8" ht="25.5" customHeight="1" x14ac:dyDescent="0.5">
      <c r="B752" s="4"/>
      <c r="C752" s="4"/>
      <c r="F752" s="4"/>
      <c r="H752" s="4"/>
    </row>
    <row r="753" spans="2:8" ht="25.5" customHeight="1" x14ac:dyDescent="0.5">
      <c r="B753" s="4"/>
      <c r="C753" s="4"/>
      <c r="F753" s="4"/>
      <c r="H753" s="4"/>
    </row>
    <row r="754" spans="2:8" ht="25.5" customHeight="1" x14ac:dyDescent="0.5">
      <c r="B754" s="4"/>
      <c r="C754" s="4"/>
      <c r="F754" s="4"/>
      <c r="H754" s="4"/>
    </row>
    <row r="755" spans="2:8" ht="25.5" customHeight="1" x14ac:dyDescent="0.5">
      <c r="B755" s="4"/>
      <c r="C755" s="4"/>
      <c r="F755" s="4"/>
      <c r="H755" s="4"/>
    </row>
    <row r="756" spans="2:8" ht="25.5" customHeight="1" x14ac:dyDescent="0.5">
      <c r="B756" s="4"/>
      <c r="C756" s="4"/>
      <c r="F756" s="4"/>
      <c r="H756" s="4"/>
    </row>
    <row r="757" spans="2:8" ht="25.5" customHeight="1" x14ac:dyDescent="0.5">
      <c r="B757" s="4"/>
      <c r="C757" s="4"/>
      <c r="F757" s="4"/>
      <c r="H757" s="4"/>
    </row>
    <row r="758" spans="2:8" ht="25.5" customHeight="1" x14ac:dyDescent="0.5">
      <c r="B758" s="4"/>
      <c r="C758" s="4"/>
      <c r="F758" s="4"/>
      <c r="H758" s="4"/>
    </row>
    <row r="759" spans="2:8" ht="25.5" customHeight="1" x14ac:dyDescent="0.5">
      <c r="B759" s="4"/>
      <c r="C759" s="4"/>
      <c r="F759" s="4"/>
      <c r="H759" s="4"/>
    </row>
    <row r="760" spans="2:8" ht="25.5" customHeight="1" x14ac:dyDescent="0.5">
      <c r="B760" s="4"/>
      <c r="C760" s="4"/>
      <c r="F760" s="4"/>
      <c r="H760" s="4"/>
    </row>
    <row r="761" spans="2:8" ht="25.5" customHeight="1" x14ac:dyDescent="0.5">
      <c r="B761" s="4"/>
      <c r="C761" s="4"/>
      <c r="F761" s="4"/>
      <c r="H761" s="4"/>
    </row>
    <row r="762" spans="2:8" ht="25.5" customHeight="1" x14ac:dyDescent="0.5">
      <c r="B762" s="4"/>
      <c r="C762" s="4"/>
      <c r="F762" s="4"/>
      <c r="H762" s="4"/>
    </row>
    <row r="763" spans="2:8" ht="25.5" customHeight="1" x14ac:dyDescent="0.5">
      <c r="B763" s="4"/>
      <c r="C763" s="4"/>
      <c r="F763" s="4"/>
      <c r="H763" s="4"/>
    </row>
    <row r="764" spans="2:8" ht="25.5" customHeight="1" x14ac:dyDescent="0.5">
      <c r="B764" s="4"/>
      <c r="C764" s="4"/>
      <c r="F764" s="4"/>
      <c r="H764" s="4"/>
    </row>
    <row r="765" spans="2:8" ht="25.5" customHeight="1" x14ac:dyDescent="0.5">
      <c r="B765" s="4"/>
      <c r="C765" s="4"/>
      <c r="F765" s="4"/>
      <c r="H765" s="4"/>
    </row>
    <row r="766" spans="2:8" ht="25.5" customHeight="1" x14ac:dyDescent="0.5">
      <c r="B766" s="4"/>
      <c r="C766" s="4"/>
      <c r="F766" s="4"/>
      <c r="H766" s="4"/>
    </row>
    <row r="767" spans="2:8" ht="25.5" customHeight="1" x14ac:dyDescent="0.5">
      <c r="B767" s="4"/>
      <c r="C767" s="4"/>
      <c r="F767" s="4"/>
      <c r="H767" s="4"/>
    </row>
    <row r="768" spans="2:8" ht="25.5" customHeight="1" x14ac:dyDescent="0.5">
      <c r="B768" s="4"/>
      <c r="C768" s="4"/>
      <c r="F768" s="4"/>
      <c r="H768" s="4"/>
    </row>
    <row r="769" spans="2:8" ht="25.5" customHeight="1" x14ac:dyDescent="0.5">
      <c r="B769" s="4"/>
      <c r="C769" s="4"/>
      <c r="F769" s="4"/>
      <c r="H769" s="4"/>
    </row>
    <row r="770" spans="2:8" ht="25.5" customHeight="1" x14ac:dyDescent="0.5">
      <c r="B770" s="4"/>
      <c r="C770" s="4"/>
      <c r="F770" s="4"/>
      <c r="H770" s="4"/>
    </row>
    <row r="771" spans="2:8" ht="25.5" customHeight="1" x14ac:dyDescent="0.5">
      <c r="B771" s="4"/>
      <c r="C771" s="4"/>
      <c r="F771" s="4"/>
      <c r="H771" s="4"/>
    </row>
    <row r="772" spans="2:8" ht="25.5" customHeight="1" x14ac:dyDescent="0.5">
      <c r="B772" s="4"/>
      <c r="C772" s="4"/>
      <c r="F772" s="4"/>
      <c r="H772" s="4"/>
    </row>
    <row r="773" spans="2:8" ht="25.5" customHeight="1" x14ac:dyDescent="0.5">
      <c r="B773" s="4"/>
      <c r="C773" s="4"/>
      <c r="F773" s="4"/>
      <c r="H773" s="4"/>
    </row>
    <row r="774" spans="2:8" ht="25.5" customHeight="1" x14ac:dyDescent="0.5">
      <c r="B774" s="4"/>
      <c r="C774" s="4"/>
      <c r="F774" s="4"/>
      <c r="H774" s="4"/>
    </row>
    <row r="775" spans="2:8" ht="25.5" customHeight="1" x14ac:dyDescent="0.5">
      <c r="B775" s="4"/>
      <c r="C775" s="4"/>
      <c r="F775" s="4"/>
      <c r="H775" s="4"/>
    </row>
    <row r="776" spans="2:8" ht="25.5" customHeight="1" x14ac:dyDescent="0.5">
      <c r="B776" s="4"/>
      <c r="C776" s="4"/>
      <c r="F776" s="4"/>
      <c r="H776" s="4"/>
    </row>
    <row r="777" spans="2:8" ht="25.5" customHeight="1" x14ac:dyDescent="0.5">
      <c r="B777" s="4"/>
      <c r="C777" s="4"/>
      <c r="F777" s="4"/>
      <c r="H777" s="4"/>
    </row>
    <row r="778" spans="2:8" ht="25.5" customHeight="1" x14ac:dyDescent="0.5">
      <c r="B778" s="4"/>
      <c r="C778" s="4"/>
      <c r="F778" s="4"/>
      <c r="H778" s="4"/>
    </row>
    <row r="779" spans="2:8" ht="25.5" customHeight="1" x14ac:dyDescent="0.5">
      <c r="B779" s="4"/>
      <c r="C779" s="4"/>
      <c r="F779" s="4"/>
      <c r="H779" s="4"/>
    </row>
    <row r="780" spans="2:8" ht="25.5" customHeight="1" x14ac:dyDescent="0.5">
      <c r="B780" s="4"/>
      <c r="C780" s="4"/>
      <c r="F780" s="4"/>
      <c r="H780" s="4"/>
    </row>
    <row r="781" spans="2:8" ht="25.5" customHeight="1" x14ac:dyDescent="0.5">
      <c r="B781" s="4"/>
      <c r="C781" s="4"/>
      <c r="F781" s="4"/>
      <c r="H781" s="4"/>
    </row>
    <row r="782" spans="2:8" ht="25.5" customHeight="1" x14ac:dyDescent="0.5">
      <c r="B782" s="4"/>
      <c r="C782" s="4"/>
      <c r="F782" s="4"/>
      <c r="H782" s="4"/>
    </row>
    <row r="783" spans="2:8" ht="25.5" customHeight="1" x14ac:dyDescent="0.5">
      <c r="B783" s="4"/>
      <c r="C783" s="4"/>
      <c r="F783" s="4"/>
      <c r="H783" s="4"/>
    </row>
    <row r="784" spans="2:8" ht="25.5" customHeight="1" x14ac:dyDescent="0.5">
      <c r="B784" s="4"/>
      <c r="C784" s="4"/>
      <c r="F784" s="4"/>
      <c r="H784" s="4"/>
    </row>
    <row r="785" spans="2:8" ht="25.5" customHeight="1" x14ac:dyDescent="0.5">
      <c r="B785" s="4"/>
      <c r="C785" s="4"/>
      <c r="F785" s="4"/>
      <c r="H785" s="4"/>
    </row>
    <row r="786" spans="2:8" ht="25.5" customHeight="1" x14ac:dyDescent="0.5">
      <c r="B786" s="4"/>
      <c r="C786" s="4"/>
      <c r="F786" s="4"/>
      <c r="H786" s="4"/>
    </row>
    <row r="787" spans="2:8" ht="25.5" customHeight="1" x14ac:dyDescent="0.5">
      <c r="B787" s="4"/>
      <c r="C787" s="4"/>
      <c r="F787" s="4"/>
      <c r="H787" s="4"/>
    </row>
    <row r="788" spans="2:8" ht="25.5" customHeight="1" x14ac:dyDescent="0.5">
      <c r="B788" s="4"/>
      <c r="C788" s="4"/>
      <c r="F788" s="4"/>
      <c r="H788" s="4"/>
    </row>
    <row r="789" spans="2:8" ht="25.5" customHeight="1" x14ac:dyDescent="0.5">
      <c r="B789" s="4"/>
      <c r="C789" s="4"/>
      <c r="F789" s="4"/>
      <c r="H789" s="4"/>
    </row>
    <row r="790" spans="2:8" ht="25.5" customHeight="1" x14ac:dyDescent="0.5">
      <c r="B790" s="4"/>
      <c r="C790" s="4"/>
      <c r="F790" s="4"/>
      <c r="H790" s="4"/>
    </row>
    <row r="791" spans="2:8" ht="25.5" customHeight="1" x14ac:dyDescent="0.5">
      <c r="B791" s="4"/>
      <c r="C791" s="4"/>
      <c r="F791" s="4"/>
      <c r="H791" s="4"/>
    </row>
    <row r="792" spans="2:8" ht="25.5" customHeight="1" x14ac:dyDescent="0.5">
      <c r="B792" s="4"/>
      <c r="C792" s="4"/>
      <c r="F792" s="4"/>
      <c r="H792" s="4"/>
    </row>
    <row r="793" spans="2:8" ht="25.5" customHeight="1" x14ac:dyDescent="0.5">
      <c r="B793" s="4"/>
      <c r="C793" s="4"/>
      <c r="F793" s="4"/>
      <c r="H793" s="4"/>
    </row>
    <row r="794" spans="2:8" ht="25.5" customHeight="1" x14ac:dyDescent="0.5">
      <c r="B794" s="4"/>
      <c r="C794" s="4"/>
      <c r="F794" s="4"/>
      <c r="H794" s="4"/>
    </row>
    <row r="795" spans="2:8" ht="25.5" customHeight="1" x14ac:dyDescent="0.5">
      <c r="B795" s="4"/>
      <c r="C795" s="4"/>
      <c r="F795" s="4"/>
      <c r="H795" s="4"/>
    </row>
    <row r="796" spans="2:8" ht="25.5" customHeight="1" x14ac:dyDescent="0.5">
      <c r="B796" s="4"/>
      <c r="C796" s="4"/>
      <c r="F796" s="4"/>
      <c r="H796" s="4"/>
    </row>
    <row r="797" spans="2:8" ht="25.5" customHeight="1" x14ac:dyDescent="0.5">
      <c r="B797" s="4"/>
      <c r="C797" s="4"/>
      <c r="F797" s="4"/>
      <c r="H797" s="4"/>
    </row>
    <row r="798" spans="2:8" ht="25.5" customHeight="1" x14ac:dyDescent="0.5">
      <c r="B798" s="4"/>
      <c r="C798" s="4"/>
      <c r="F798" s="4"/>
      <c r="H798" s="4"/>
    </row>
    <row r="799" spans="2:8" ht="25.5" customHeight="1" x14ac:dyDescent="0.5">
      <c r="B799" s="4"/>
      <c r="C799" s="4"/>
      <c r="F799" s="4"/>
      <c r="H799" s="4"/>
    </row>
    <row r="800" spans="2:8" ht="25.5" customHeight="1" x14ac:dyDescent="0.5">
      <c r="B800" s="4"/>
      <c r="C800" s="4"/>
      <c r="F800" s="4"/>
      <c r="H800" s="4"/>
    </row>
    <row r="801" spans="2:8" ht="25.5" customHeight="1" x14ac:dyDescent="0.5">
      <c r="B801" s="4"/>
      <c r="C801" s="4"/>
      <c r="F801" s="4"/>
      <c r="H801" s="4"/>
    </row>
    <row r="802" spans="2:8" ht="25.5" customHeight="1" x14ac:dyDescent="0.5">
      <c r="B802" s="4"/>
      <c r="C802" s="4"/>
      <c r="F802" s="4"/>
      <c r="H802" s="4"/>
    </row>
    <row r="803" spans="2:8" ht="25.5" customHeight="1" x14ac:dyDescent="0.5">
      <c r="B803" s="4"/>
      <c r="C803" s="4"/>
      <c r="F803" s="4"/>
      <c r="H803" s="4"/>
    </row>
    <row r="804" spans="2:8" ht="25.5" customHeight="1" x14ac:dyDescent="0.5">
      <c r="B804" s="4"/>
      <c r="C804" s="4"/>
      <c r="F804" s="4"/>
      <c r="H804" s="4"/>
    </row>
    <row r="805" spans="2:8" ht="25.5" customHeight="1" x14ac:dyDescent="0.5">
      <c r="B805" s="4"/>
      <c r="C805" s="4"/>
      <c r="F805" s="4"/>
      <c r="H805" s="4"/>
    </row>
    <row r="806" spans="2:8" ht="25.5" customHeight="1" x14ac:dyDescent="0.5">
      <c r="B806" s="4"/>
      <c r="C806" s="4"/>
      <c r="F806" s="4"/>
      <c r="H806" s="4"/>
    </row>
    <row r="807" spans="2:8" ht="25.5" customHeight="1" x14ac:dyDescent="0.5">
      <c r="B807" s="4"/>
      <c r="C807" s="4"/>
      <c r="F807" s="4"/>
      <c r="H807" s="4"/>
    </row>
    <row r="808" spans="2:8" ht="25.5" customHeight="1" x14ac:dyDescent="0.5">
      <c r="B808" s="4"/>
      <c r="C808" s="4"/>
      <c r="F808" s="4"/>
      <c r="H808" s="4"/>
    </row>
    <row r="809" spans="2:8" ht="25.5" customHeight="1" x14ac:dyDescent="0.5">
      <c r="B809" s="4"/>
      <c r="C809" s="4"/>
      <c r="F809" s="4"/>
      <c r="H809" s="4"/>
    </row>
    <row r="810" spans="2:8" ht="25.5" customHeight="1" x14ac:dyDescent="0.5">
      <c r="B810" s="4"/>
      <c r="C810" s="4"/>
      <c r="F810" s="4"/>
      <c r="H810" s="4"/>
    </row>
    <row r="811" spans="2:8" ht="25.5" customHeight="1" x14ac:dyDescent="0.5">
      <c r="B811" s="4"/>
      <c r="C811" s="4"/>
      <c r="F811" s="4"/>
      <c r="H811" s="4"/>
    </row>
    <row r="812" spans="2:8" ht="25.5" customHeight="1" x14ac:dyDescent="0.5">
      <c r="B812" s="4"/>
      <c r="C812" s="4"/>
      <c r="F812" s="4"/>
      <c r="H812" s="4"/>
    </row>
    <row r="813" spans="2:8" ht="25.5" customHeight="1" x14ac:dyDescent="0.5">
      <c r="B813" s="4"/>
      <c r="C813" s="4"/>
      <c r="F813" s="4"/>
      <c r="H813" s="4"/>
    </row>
    <row r="814" spans="2:8" ht="25.5" customHeight="1" x14ac:dyDescent="0.5">
      <c r="B814" s="4"/>
      <c r="C814" s="4"/>
      <c r="F814" s="4"/>
      <c r="H814" s="4"/>
    </row>
    <row r="815" spans="2:8" ht="25.5" customHeight="1" x14ac:dyDescent="0.5">
      <c r="B815" s="4"/>
      <c r="C815" s="4"/>
      <c r="F815" s="4"/>
      <c r="H815" s="4"/>
    </row>
    <row r="816" spans="2:8" ht="25.5" customHeight="1" x14ac:dyDescent="0.5">
      <c r="B816" s="4"/>
      <c r="C816" s="4"/>
      <c r="F816" s="4"/>
      <c r="H816" s="4"/>
    </row>
    <row r="817" spans="2:8" ht="25.5" customHeight="1" x14ac:dyDescent="0.5">
      <c r="B817" s="4"/>
      <c r="C817" s="4"/>
      <c r="F817" s="4"/>
      <c r="H817" s="4"/>
    </row>
    <row r="818" spans="2:8" ht="25.5" customHeight="1" x14ac:dyDescent="0.5">
      <c r="B818" s="4"/>
      <c r="C818" s="4"/>
      <c r="F818" s="4"/>
      <c r="H818" s="4"/>
    </row>
    <row r="819" spans="2:8" ht="25.5" customHeight="1" x14ac:dyDescent="0.5">
      <c r="B819" s="4"/>
      <c r="C819" s="4"/>
      <c r="F819" s="4"/>
      <c r="H819" s="4"/>
    </row>
    <row r="820" spans="2:8" ht="25.5" customHeight="1" x14ac:dyDescent="0.5">
      <c r="B820" s="4"/>
      <c r="C820" s="4"/>
      <c r="F820" s="4"/>
      <c r="H820" s="4"/>
    </row>
    <row r="821" spans="2:8" ht="25.5" customHeight="1" x14ac:dyDescent="0.5">
      <c r="B821" s="4"/>
      <c r="C821" s="4"/>
      <c r="F821" s="4"/>
      <c r="H821" s="4"/>
    </row>
    <row r="822" spans="2:8" ht="25.5" customHeight="1" x14ac:dyDescent="0.5">
      <c r="B822" s="4"/>
      <c r="C822" s="4"/>
      <c r="F822" s="4"/>
      <c r="H822" s="4"/>
    </row>
    <row r="823" spans="2:8" ht="25.5" customHeight="1" x14ac:dyDescent="0.5">
      <c r="B823" s="4"/>
      <c r="C823" s="4"/>
      <c r="F823" s="4"/>
      <c r="H823" s="4"/>
    </row>
    <row r="824" spans="2:8" ht="25.5" customHeight="1" x14ac:dyDescent="0.5">
      <c r="B824" s="4"/>
      <c r="C824" s="4"/>
      <c r="F824" s="4"/>
      <c r="H824" s="4"/>
    </row>
    <row r="825" spans="2:8" ht="25.5" customHeight="1" x14ac:dyDescent="0.5">
      <c r="B825" s="4"/>
      <c r="C825" s="4"/>
      <c r="F825" s="4"/>
      <c r="H825" s="4"/>
    </row>
    <row r="826" spans="2:8" ht="25.5" customHeight="1" x14ac:dyDescent="0.5">
      <c r="B826" s="4"/>
      <c r="C826" s="4"/>
      <c r="F826" s="4"/>
      <c r="H826" s="4"/>
    </row>
    <row r="827" spans="2:8" ht="25.5" customHeight="1" x14ac:dyDescent="0.5">
      <c r="B827" s="4"/>
      <c r="C827" s="4"/>
      <c r="F827" s="4"/>
      <c r="H827" s="4"/>
    </row>
    <row r="828" spans="2:8" ht="25.5" customHeight="1" x14ac:dyDescent="0.5">
      <c r="B828" s="4"/>
      <c r="C828" s="4"/>
      <c r="F828" s="4"/>
      <c r="H828" s="4"/>
    </row>
    <row r="829" spans="2:8" ht="25.5" customHeight="1" x14ac:dyDescent="0.5">
      <c r="B829" s="4"/>
      <c r="C829" s="4"/>
      <c r="F829" s="4"/>
      <c r="H829" s="4"/>
    </row>
    <row r="830" spans="2:8" ht="25.5" customHeight="1" x14ac:dyDescent="0.5">
      <c r="B830" s="4"/>
      <c r="C830" s="4"/>
      <c r="F830" s="4"/>
      <c r="H830" s="4"/>
    </row>
    <row r="831" spans="2:8" ht="25.5" customHeight="1" x14ac:dyDescent="0.5">
      <c r="B831" s="4"/>
      <c r="C831" s="4"/>
      <c r="F831" s="4"/>
      <c r="H831" s="4"/>
    </row>
    <row r="832" spans="2:8" ht="25.5" customHeight="1" x14ac:dyDescent="0.5">
      <c r="B832" s="4"/>
      <c r="C832" s="4"/>
      <c r="F832" s="4"/>
      <c r="H832" s="4"/>
    </row>
    <row r="833" spans="2:8" ht="25.5" customHeight="1" x14ac:dyDescent="0.5">
      <c r="B833" s="4"/>
      <c r="C833" s="4"/>
      <c r="F833" s="4"/>
      <c r="H833" s="4"/>
    </row>
    <row r="834" spans="2:8" ht="25.5" customHeight="1" x14ac:dyDescent="0.5">
      <c r="B834" s="4"/>
      <c r="C834" s="4"/>
      <c r="F834" s="4"/>
      <c r="H834" s="4"/>
    </row>
    <row r="835" spans="2:8" ht="25.5" customHeight="1" x14ac:dyDescent="0.5">
      <c r="B835" s="4"/>
      <c r="C835" s="4"/>
      <c r="F835" s="4"/>
      <c r="H835" s="4"/>
    </row>
    <row r="836" spans="2:8" ht="25.5" customHeight="1" x14ac:dyDescent="0.5">
      <c r="B836" s="4"/>
      <c r="C836" s="4"/>
      <c r="F836" s="4"/>
      <c r="H836" s="4"/>
    </row>
    <row r="837" spans="2:8" ht="25.5" customHeight="1" x14ac:dyDescent="0.5">
      <c r="B837" s="4"/>
      <c r="C837" s="4"/>
      <c r="F837" s="4"/>
      <c r="H837" s="4"/>
    </row>
    <row r="838" spans="2:8" ht="25.5" customHeight="1" x14ac:dyDescent="0.5">
      <c r="B838" s="4"/>
      <c r="C838" s="4"/>
      <c r="F838" s="4"/>
      <c r="H838" s="4"/>
    </row>
    <row r="839" spans="2:8" ht="25.5" customHeight="1" x14ac:dyDescent="0.5">
      <c r="B839" s="4"/>
      <c r="C839" s="4"/>
      <c r="F839" s="4"/>
      <c r="H839" s="4"/>
    </row>
    <row r="840" spans="2:8" ht="25.5" customHeight="1" x14ac:dyDescent="0.5">
      <c r="B840" s="4"/>
      <c r="C840" s="4"/>
      <c r="F840" s="4"/>
      <c r="H840" s="4"/>
    </row>
    <row r="841" spans="2:8" ht="25.5" customHeight="1" x14ac:dyDescent="0.5">
      <c r="B841" s="4"/>
      <c r="C841" s="4"/>
      <c r="F841" s="4"/>
      <c r="H841" s="4"/>
    </row>
    <row r="842" spans="2:8" ht="25.5" customHeight="1" x14ac:dyDescent="0.5">
      <c r="B842" s="4"/>
      <c r="C842" s="4"/>
      <c r="F842" s="4"/>
      <c r="H842" s="4"/>
    </row>
    <row r="843" spans="2:8" ht="25.5" customHeight="1" x14ac:dyDescent="0.5">
      <c r="B843" s="4"/>
      <c r="C843" s="4"/>
      <c r="F843" s="4"/>
      <c r="H843" s="4"/>
    </row>
    <row r="844" spans="2:8" ht="25.5" customHeight="1" x14ac:dyDescent="0.5">
      <c r="B844" s="4"/>
      <c r="C844" s="4"/>
      <c r="F844" s="4"/>
      <c r="H844" s="4"/>
    </row>
    <row r="845" spans="2:8" ht="25.5" customHeight="1" x14ac:dyDescent="0.5">
      <c r="B845" s="4"/>
      <c r="C845" s="4"/>
      <c r="F845" s="4"/>
      <c r="H845" s="4"/>
    </row>
    <row r="846" spans="2:8" ht="25.5" customHeight="1" x14ac:dyDescent="0.5">
      <c r="B846" s="4"/>
      <c r="C846" s="4"/>
      <c r="F846" s="4"/>
      <c r="H846" s="4"/>
    </row>
    <row r="847" spans="2:8" ht="25.5" customHeight="1" x14ac:dyDescent="0.5">
      <c r="B847" s="4"/>
      <c r="C847" s="4"/>
      <c r="F847" s="4"/>
      <c r="H847" s="4"/>
    </row>
    <row r="848" spans="2:8" ht="25.5" customHeight="1" x14ac:dyDescent="0.5">
      <c r="B848" s="4"/>
      <c r="C848" s="4"/>
      <c r="F848" s="4"/>
      <c r="H848" s="4"/>
    </row>
    <row r="849" spans="2:8" ht="25.5" customHeight="1" x14ac:dyDescent="0.5">
      <c r="B849" s="4"/>
      <c r="C849" s="4"/>
      <c r="F849" s="4"/>
      <c r="H849" s="4"/>
    </row>
    <row r="850" spans="2:8" ht="25.5" customHeight="1" x14ac:dyDescent="0.5">
      <c r="B850" s="4"/>
      <c r="C850" s="4"/>
      <c r="F850" s="4"/>
      <c r="H850" s="4"/>
    </row>
    <row r="851" spans="2:8" ht="25.5" customHeight="1" x14ac:dyDescent="0.5">
      <c r="B851" s="4"/>
      <c r="C851" s="4"/>
      <c r="F851" s="4"/>
      <c r="H851" s="4"/>
    </row>
    <row r="852" spans="2:8" ht="25.5" customHeight="1" x14ac:dyDescent="0.5">
      <c r="B852" s="4"/>
      <c r="C852" s="4"/>
      <c r="F852" s="4"/>
      <c r="H852" s="4"/>
    </row>
    <row r="853" spans="2:8" ht="25.5" customHeight="1" x14ac:dyDescent="0.5">
      <c r="B853" s="4"/>
      <c r="C853" s="4"/>
      <c r="F853" s="4"/>
      <c r="H853" s="4"/>
    </row>
    <row r="854" spans="2:8" ht="25.5" customHeight="1" x14ac:dyDescent="0.5">
      <c r="B854" s="4"/>
      <c r="C854" s="4"/>
      <c r="F854" s="4"/>
      <c r="H854" s="4"/>
    </row>
    <row r="855" spans="2:8" ht="25.5" customHeight="1" x14ac:dyDescent="0.5">
      <c r="B855" s="4"/>
      <c r="C855" s="4"/>
      <c r="F855" s="4"/>
      <c r="H855" s="4"/>
    </row>
    <row r="856" spans="2:8" ht="25.5" customHeight="1" x14ac:dyDescent="0.5">
      <c r="B856" s="4"/>
      <c r="C856" s="4"/>
      <c r="F856" s="4"/>
      <c r="H856" s="4"/>
    </row>
    <row r="857" spans="2:8" ht="25.5" customHeight="1" x14ac:dyDescent="0.5">
      <c r="B857" s="4"/>
      <c r="C857" s="4"/>
      <c r="F857" s="4"/>
      <c r="H857" s="4"/>
    </row>
    <row r="858" spans="2:8" ht="25.5" customHeight="1" x14ac:dyDescent="0.5">
      <c r="B858" s="4"/>
      <c r="C858" s="4"/>
      <c r="F858" s="4"/>
      <c r="H858" s="4"/>
    </row>
    <row r="859" spans="2:8" ht="25.5" customHeight="1" x14ac:dyDescent="0.5">
      <c r="B859" s="4"/>
      <c r="C859" s="4"/>
      <c r="F859" s="4"/>
      <c r="H859" s="4"/>
    </row>
    <row r="860" spans="2:8" ht="25.5" customHeight="1" x14ac:dyDescent="0.5">
      <c r="B860" s="4"/>
      <c r="C860" s="4"/>
      <c r="F860" s="4"/>
      <c r="H860" s="4"/>
    </row>
    <row r="861" spans="2:8" ht="25.5" customHeight="1" x14ac:dyDescent="0.5">
      <c r="B861" s="4"/>
      <c r="C861" s="4"/>
      <c r="F861" s="4"/>
      <c r="H861" s="4"/>
    </row>
    <row r="862" spans="2:8" ht="25.5" customHeight="1" x14ac:dyDescent="0.5">
      <c r="B862" s="4"/>
      <c r="C862" s="4"/>
      <c r="F862" s="4"/>
      <c r="H862" s="4"/>
    </row>
    <row r="863" spans="2:8" ht="25.5" customHeight="1" x14ac:dyDescent="0.5">
      <c r="B863" s="4"/>
      <c r="C863" s="4"/>
      <c r="F863" s="4"/>
      <c r="H863" s="4"/>
    </row>
    <row r="864" spans="2:8" ht="25.5" customHeight="1" x14ac:dyDescent="0.5">
      <c r="B864" s="4"/>
      <c r="C864" s="4"/>
      <c r="F864" s="4"/>
      <c r="H864" s="4"/>
    </row>
    <row r="865" spans="2:8" ht="25.5" customHeight="1" x14ac:dyDescent="0.5">
      <c r="B865" s="4"/>
      <c r="C865" s="4"/>
      <c r="F865" s="4"/>
      <c r="H865" s="4"/>
    </row>
    <row r="866" spans="2:8" ht="25.5" customHeight="1" x14ac:dyDescent="0.5">
      <c r="B866" s="4"/>
      <c r="C866" s="4"/>
      <c r="F866" s="4"/>
      <c r="H866" s="4"/>
    </row>
    <row r="867" spans="2:8" ht="25.5" customHeight="1" x14ac:dyDescent="0.5">
      <c r="B867" s="4"/>
      <c r="C867" s="4"/>
      <c r="F867" s="4"/>
      <c r="H867" s="4"/>
    </row>
    <row r="868" spans="2:8" ht="25.5" customHeight="1" x14ac:dyDescent="0.5">
      <c r="B868" s="4"/>
      <c r="C868" s="4"/>
      <c r="F868" s="4"/>
      <c r="H868" s="4"/>
    </row>
    <row r="869" spans="2:8" ht="25.5" customHeight="1" x14ac:dyDescent="0.5">
      <c r="B869" s="4"/>
      <c r="C869" s="4"/>
      <c r="F869" s="4"/>
      <c r="H869" s="4"/>
    </row>
    <row r="870" spans="2:8" ht="25.5" customHeight="1" x14ac:dyDescent="0.5">
      <c r="B870" s="4"/>
      <c r="C870" s="4"/>
      <c r="F870" s="4"/>
      <c r="H870" s="4"/>
    </row>
    <row r="871" spans="2:8" ht="25.5" customHeight="1" x14ac:dyDescent="0.5">
      <c r="B871" s="4"/>
      <c r="C871" s="4"/>
      <c r="F871" s="4"/>
      <c r="H871" s="4"/>
    </row>
    <row r="872" spans="2:8" ht="25.5" customHeight="1" x14ac:dyDescent="0.5">
      <c r="B872" s="4"/>
      <c r="C872" s="4"/>
      <c r="F872" s="4"/>
      <c r="H872" s="4"/>
    </row>
    <row r="873" spans="2:8" ht="25.5" customHeight="1" x14ac:dyDescent="0.5">
      <c r="B873" s="4"/>
      <c r="C873" s="4"/>
      <c r="F873" s="4"/>
      <c r="H873" s="4"/>
    </row>
    <row r="874" spans="2:8" ht="25.5" customHeight="1" x14ac:dyDescent="0.5">
      <c r="B874" s="4"/>
      <c r="C874" s="4"/>
      <c r="F874" s="4"/>
      <c r="H874" s="4"/>
    </row>
    <row r="875" spans="2:8" ht="25.5" customHeight="1" x14ac:dyDescent="0.5">
      <c r="B875" s="4"/>
      <c r="C875" s="4"/>
      <c r="F875" s="4"/>
      <c r="H875" s="4"/>
    </row>
    <row r="876" spans="2:8" ht="25.5" customHeight="1" x14ac:dyDescent="0.5">
      <c r="B876" s="4"/>
      <c r="C876" s="4"/>
      <c r="F876" s="4"/>
      <c r="H876" s="4"/>
    </row>
    <row r="877" spans="2:8" ht="25.5" customHeight="1" x14ac:dyDescent="0.5">
      <c r="B877" s="4"/>
      <c r="C877" s="4"/>
      <c r="F877" s="4"/>
      <c r="H877" s="4"/>
    </row>
    <row r="878" spans="2:8" ht="25.5" customHeight="1" x14ac:dyDescent="0.5">
      <c r="B878" s="4"/>
      <c r="C878" s="4"/>
      <c r="F878" s="4"/>
      <c r="H878" s="4"/>
    </row>
    <row r="879" spans="2:8" ht="25.5" customHeight="1" x14ac:dyDescent="0.5">
      <c r="B879" s="4"/>
      <c r="C879" s="4"/>
      <c r="F879" s="4"/>
      <c r="H879" s="4"/>
    </row>
    <row r="880" spans="2:8" ht="25.5" customHeight="1" x14ac:dyDescent="0.5">
      <c r="B880" s="4"/>
      <c r="C880" s="4"/>
      <c r="F880" s="4"/>
      <c r="H880" s="4"/>
    </row>
    <row r="881" spans="2:8" ht="25.5" customHeight="1" x14ac:dyDescent="0.5">
      <c r="B881" s="4"/>
      <c r="C881" s="4"/>
      <c r="F881" s="4"/>
      <c r="H881" s="4"/>
    </row>
    <row r="882" spans="2:8" ht="25.5" customHeight="1" x14ac:dyDescent="0.5">
      <c r="B882" s="4"/>
      <c r="C882" s="4"/>
      <c r="F882" s="4"/>
      <c r="H882" s="4"/>
    </row>
    <row r="883" spans="2:8" ht="25.5" customHeight="1" x14ac:dyDescent="0.5">
      <c r="B883" s="4"/>
      <c r="C883" s="4"/>
      <c r="F883" s="4"/>
      <c r="H883" s="4"/>
    </row>
    <row r="884" spans="2:8" ht="25.5" customHeight="1" x14ac:dyDescent="0.5">
      <c r="B884" s="4"/>
      <c r="C884" s="4"/>
      <c r="F884" s="4"/>
      <c r="H884" s="4"/>
    </row>
    <row r="885" spans="2:8" ht="25.5" customHeight="1" x14ac:dyDescent="0.5">
      <c r="B885" s="4"/>
      <c r="C885" s="4"/>
      <c r="F885" s="4"/>
      <c r="H885" s="4"/>
    </row>
    <row r="886" spans="2:8" ht="25.5" customHeight="1" x14ac:dyDescent="0.5">
      <c r="B886" s="4"/>
      <c r="C886" s="4"/>
      <c r="F886" s="4"/>
      <c r="H886" s="4"/>
    </row>
    <row r="887" spans="2:8" ht="25.5" customHeight="1" x14ac:dyDescent="0.5">
      <c r="B887" s="4"/>
      <c r="C887" s="4"/>
      <c r="F887" s="4"/>
      <c r="H887" s="4"/>
    </row>
    <row r="888" spans="2:8" ht="25.5" customHeight="1" x14ac:dyDescent="0.5">
      <c r="B888" s="4"/>
      <c r="C888" s="4"/>
      <c r="F888" s="4"/>
      <c r="H888" s="4"/>
    </row>
    <row r="889" spans="2:8" ht="25.5" customHeight="1" x14ac:dyDescent="0.5">
      <c r="B889" s="4"/>
      <c r="C889" s="4"/>
      <c r="F889" s="4"/>
      <c r="H889" s="4"/>
    </row>
    <row r="890" spans="2:8" ht="25.5" customHeight="1" x14ac:dyDescent="0.5">
      <c r="B890" s="4"/>
      <c r="C890" s="4"/>
      <c r="F890" s="4"/>
      <c r="H890" s="4"/>
    </row>
    <row r="891" spans="2:8" ht="25.5" customHeight="1" x14ac:dyDescent="0.5">
      <c r="B891" s="4"/>
      <c r="C891" s="4"/>
      <c r="F891" s="4"/>
      <c r="H891" s="4"/>
    </row>
    <row r="892" spans="2:8" ht="25.5" customHeight="1" x14ac:dyDescent="0.5">
      <c r="B892" s="4"/>
      <c r="C892" s="4"/>
      <c r="F892" s="4"/>
      <c r="H892" s="4"/>
    </row>
    <row r="893" spans="2:8" ht="25.5" customHeight="1" x14ac:dyDescent="0.5">
      <c r="B893" s="4"/>
      <c r="C893" s="4"/>
      <c r="F893" s="4"/>
      <c r="H893" s="4"/>
    </row>
    <row r="894" spans="2:8" ht="25.5" customHeight="1" x14ac:dyDescent="0.5">
      <c r="B894" s="4"/>
      <c r="C894" s="4"/>
      <c r="F894" s="4"/>
      <c r="H894" s="4"/>
    </row>
    <row r="895" spans="2:8" ht="25.5" customHeight="1" x14ac:dyDescent="0.5">
      <c r="B895" s="4"/>
      <c r="C895" s="4"/>
      <c r="F895" s="4"/>
      <c r="H895" s="4"/>
    </row>
    <row r="896" spans="2:8" ht="25.5" customHeight="1" x14ac:dyDescent="0.5">
      <c r="B896" s="4"/>
      <c r="C896" s="4"/>
      <c r="F896" s="4"/>
      <c r="H896" s="4"/>
    </row>
    <row r="897" spans="2:8" ht="25.5" customHeight="1" x14ac:dyDescent="0.5">
      <c r="B897" s="4"/>
      <c r="C897" s="4"/>
      <c r="F897" s="4"/>
      <c r="H897" s="4"/>
    </row>
    <row r="898" spans="2:8" ht="25.5" customHeight="1" x14ac:dyDescent="0.5">
      <c r="B898" s="4"/>
      <c r="C898" s="4"/>
      <c r="F898" s="4"/>
      <c r="H898" s="4"/>
    </row>
    <row r="899" spans="2:8" ht="25.5" customHeight="1" x14ac:dyDescent="0.5">
      <c r="B899" s="4"/>
      <c r="C899" s="4"/>
      <c r="F899" s="4"/>
      <c r="H899" s="4"/>
    </row>
    <row r="900" spans="2:8" ht="25.5" customHeight="1" x14ac:dyDescent="0.5">
      <c r="B900" s="4"/>
      <c r="C900" s="4"/>
      <c r="F900" s="4"/>
      <c r="H900" s="4"/>
    </row>
    <row r="901" spans="2:8" ht="25.5" customHeight="1" x14ac:dyDescent="0.5">
      <c r="B901" s="4"/>
      <c r="C901" s="4"/>
      <c r="F901" s="4"/>
      <c r="H901" s="4"/>
    </row>
    <row r="902" spans="2:8" ht="25.5" customHeight="1" x14ac:dyDescent="0.5">
      <c r="B902" s="4"/>
      <c r="C902" s="4"/>
      <c r="F902" s="4"/>
      <c r="H902" s="4"/>
    </row>
    <row r="903" spans="2:8" ht="25.5" customHeight="1" x14ac:dyDescent="0.5">
      <c r="B903" s="4"/>
      <c r="C903" s="4"/>
      <c r="F903" s="4"/>
      <c r="H903" s="4"/>
    </row>
    <row r="904" spans="2:8" ht="25.5" customHeight="1" x14ac:dyDescent="0.5">
      <c r="B904" s="4"/>
      <c r="C904" s="4"/>
      <c r="F904" s="4"/>
      <c r="H904" s="4"/>
    </row>
    <row r="905" spans="2:8" ht="25.5" customHeight="1" x14ac:dyDescent="0.5">
      <c r="B905" s="4"/>
      <c r="C905" s="4"/>
      <c r="F905" s="4"/>
      <c r="H905" s="4"/>
    </row>
    <row r="906" spans="2:8" ht="25.5" customHeight="1" x14ac:dyDescent="0.5">
      <c r="B906" s="4"/>
      <c r="C906" s="4"/>
      <c r="F906" s="4"/>
      <c r="H906" s="4"/>
    </row>
    <row r="907" spans="2:8" ht="25.5" customHeight="1" x14ac:dyDescent="0.5">
      <c r="B907" s="4"/>
      <c r="C907" s="4"/>
      <c r="F907" s="4"/>
      <c r="H907" s="4"/>
    </row>
    <row r="908" spans="2:8" ht="25.5" customHeight="1" x14ac:dyDescent="0.5">
      <c r="B908" s="4"/>
      <c r="C908" s="4"/>
      <c r="F908" s="4"/>
      <c r="H908" s="4"/>
    </row>
    <row r="909" spans="2:8" ht="25.5" customHeight="1" x14ac:dyDescent="0.5">
      <c r="B909" s="4"/>
      <c r="C909" s="4"/>
      <c r="F909" s="4"/>
      <c r="H909" s="4"/>
    </row>
    <row r="910" spans="2:8" ht="25.5" customHeight="1" x14ac:dyDescent="0.5">
      <c r="B910" s="4"/>
      <c r="C910" s="4"/>
      <c r="F910" s="4"/>
      <c r="H910" s="4"/>
    </row>
    <row r="911" spans="2:8" ht="25.5" customHeight="1" x14ac:dyDescent="0.5">
      <c r="B911" s="4"/>
      <c r="C911" s="4"/>
      <c r="F911" s="4"/>
      <c r="H911" s="4"/>
    </row>
    <row r="912" spans="2:8" ht="25.5" customHeight="1" x14ac:dyDescent="0.5">
      <c r="B912" s="4"/>
      <c r="C912" s="4"/>
      <c r="F912" s="4"/>
      <c r="H912" s="4"/>
    </row>
    <row r="913" spans="2:8" ht="25.5" customHeight="1" x14ac:dyDescent="0.5">
      <c r="B913" s="4"/>
      <c r="C913" s="4"/>
      <c r="F913" s="4"/>
      <c r="H913" s="4"/>
    </row>
    <row r="914" spans="2:8" ht="25.5" customHeight="1" x14ac:dyDescent="0.5">
      <c r="B914" s="4"/>
      <c r="C914" s="4"/>
      <c r="F914" s="4"/>
      <c r="H914" s="4"/>
    </row>
    <row r="915" spans="2:8" ht="25.5" customHeight="1" x14ac:dyDescent="0.5">
      <c r="B915" s="4"/>
      <c r="C915" s="4"/>
      <c r="F915" s="4"/>
      <c r="H915" s="4"/>
    </row>
    <row r="916" spans="2:8" ht="25.5" customHeight="1" x14ac:dyDescent="0.5">
      <c r="B916" s="4"/>
      <c r="C916" s="4"/>
      <c r="F916" s="4"/>
      <c r="H916" s="4"/>
    </row>
    <row r="917" spans="2:8" ht="25.5" customHeight="1" x14ac:dyDescent="0.5">
      <c r="B917" s="4"/>
      <c r="C917" s="4"/>
      <c r="F917" s="4"/>
      <c r="H917" s="4"/>
    </row>
    <row r="918" spans="2:8" ht="25.5" customHeight="1" x14ac:dyDescent="0.5">
      <c r="B918" s="4"/>
      <c r="C918" s="4"/>
      <c r="F918" s="4"/>
      <c r="H918" s="4"/>
    </row>
    <row r="919" spans="2:8" ht="25.5" customHeight="1" x14ac:dyDescent="0.5">
      <c r="B919" s="4"/>
      <c r="C919" s="4"/>
      <c r="F919" s="4"/>
      <c r="H919" s="4"/>
    </row>
    <row r="920" spans="2:8" ht="25.5" customHeight="1" x14ac:dyDescent="0.5">
      <c r="B920" s="4"/>
      <c r="C920" s="4"/>
      <c r="F920" s="4"/>
      <c r="H920" s="4"/>
    </row>
    <row r="921" spans="2:8" ht="25.5" customHeight="1" x14ac:dyDescent="0.5">
      <c r="B921" s="4"/>
      <c r="C921" s="4"/>
      <c r="F921" s="4"/>
      <c r="H921" s="4"/>
    </row>
    <row r="922" spans="2:8" ht="25.5" customHeight="1" x14ac:dyDescent="0.5">
      <c r="B922" s="4"/>
      <c r="C922" s="4"/>
      <c r="F922" s="4"/>
      <c r="H922" s="4"/>
    </row>
    <row r="923" spans="2:8" ht="25.5" customHeight="1" x14ac:dyDescent="0.5">
      <c r="B923" s="4"/>
      <c r="C923" s="4"/>
      <c r="F923" s="4"/>
      <c r="H923" s="4"/>
    </row>
    <row r="924" spans="2:8" ht="25.5" customHeight="1" x14ac:dyDescent="0.5">
      <c r="B924" s="4"/>
      <c r="C924" s="4"/>
      <c r="F924" s="4"/>
      <c r="H924" s="4"/>
    </row>
    <row r="925" spans="2:8" ht="25.5" customHeight="1" x14ac:dyDescent="0.5">
      <c r="B925" s="4"/>
      <c r="C925" s="4"/>
      <c r="F925" s="4"/>
      <c r="H925" s="4"/>
    </row>
    <row r="926" spans="2:8" ht="25.5" customHeight="1" x14ac:dyDescent="0.5">
      <c r="B926" s="4"/>
      <c r="C926" s="4"/>
      <c r="F926" s="4"/>
      <c r="H926" s="4"/>
    </row>
    <row r="927" spans="2:8" ht="25.5" customHeight="1" x14ac:dyDescent="0.5">
      <c r="B927" s="4"/>
      <c r="C927" s="4"/>
      <c r="F927" s="4"/>
      <c r="H927" s="4"/>
    </row>
    <row r="928" spans="2:8" ht="25.5" customHeight="1" x14ac:dyDescent="0.5">
      <c r="B928" s="4"/>
      <c r="C928" s="4"/>
      <c r="F928" s="4"/>
      <c r="H928" s="4"/>
    </row>
    <row r="929" spans="2:8" ht="25.5" customHeight="1" x14ac:dyDescent="0.5">
      <c r="B929" s="4"/>
      <c r="C929" s="4"/>
      <c r="F929" s="4"/>
      <c r="H929" s="4"/>
    </row>
    <row r="930" spans="2:8" ht="25.5" customHeight="1" x14ac:dyDescent="0.5">
      <c r="B930" s="4"/>
      <c r="C930" s="4"/>
      <c r="F930" s="4"/>
      <c r="H930" s="4"/>
    </row>
    <row r="931" spans="2:8" ht="25.5" customHeight="1" x14ac:dyDescent="0.5">
      <c r="B931" s="4"/>
      <c r="C931" s="4"/>
      <c r="F931" s="4"/>
      <c r="H931" s="4"/>
    </row>
    <row r="932" spans="2:8" ht="25.5" customHeight="1" x14ac:dyDescent="0.5">
      <c r="B932" s="4"/>
      <c r="C932" s="4"/>
      <c r="F932" s="4"/>
      <c r="H932" s="4"/>
    </row>
    <row r="933" spans="2:8" ht="25.5" customHeight="1" x14ac:dyDescent="0.5">
      <c r="B933" s="4"/>
      <c r="C933" s="4"/>
      <c r="F933" s="4"/>
      <c r="H933" s="4"/>
    </row>
    <row r="934" spans="2:8" ht="25.5" customHeight="1" x14ac:dyDescent="0.5">
      <c r="B934" s="4"/>
      <c r="C934" s="4"/>
      <c r="F934" s="4"/>
      <c r="H934" s="4"/>
    </row>
    <row r="935" spans="2:8" ht="25.5" customHeight="1" x14ac:dyDescent="0.5">
      <c r="B935" s="4"/>
      <c r="C935" s="4"/>
      <c r="F935" s="4"/>
      <c r="H935" s="4"/>
    </row>
    <row r="936" spans="2:8" ht="25.5" customHeight="1" x14ac:dyDescent="0.5">
      <c r="B936" s="4"/>
      <c r="C936" s="4"/>
      <c r="F936" s="4"/>
      <c r="H936" s="4"/>
    </row>
    <row r="937" spans="2:8" ht="25.5" customHeight="1" x14ac:dyDescent="0.5">
      <c r="B937" s="4"/>
      <c r="C937" s="4"/>
      <c r="F937" s="4"/>
      <c r="H937" s="4"/>
    </row>
    <row r="938" spans="2:8" ht="25.5" customHeight="1" x14ac:dyDescent="0.5">
      <c r="B938" s="4"/>
      <c r="C938" s="4"/>
      <c r="F938" s="4"/>
      <c r="H938" s="4"/>
    </row>
    <row r="939" spans="2:8" ht="25.5" customHeight="1" x14ac:dyDescent="0.5">
      <c r="B939" s="4"/>
      <c r="C939" s="4"/>
      <c r="F939" s="4"/>
      <c r="H939" s="4"/>
    </row>
    <row r="940" spans="2:8" ht="25.5" customHeight="1" x14ac:dyDescent="0.5">
      <c r="B940" s="4"/>
      <c r="C940" s="4"/>
      <c r="F940" s="4"/>
      <c r="H940" s="4"/>
    </row>
    <row r="941" spans="2:8" ht="25.5" customHeight="1" x14ac:dyDescent="0.5">
      <c r="B941" s="4"/>
      <c r="C941" s="4"/>
      <c r="F941" s="4"/>
      <c r="H941" s="4"/>
    </row>
    <row r="942" spans="2:8" ht="25.5" customHeight="1" x14ac:dyDescent="0.5">
      <c r="B942" s="4"/>
      <c r="C942" s="4"/>
      <c r="F942" s="4"/>
      <c r="H942" s="4"/>
    </row>
    <row r="943" spans="2:8" ht="25.5" customHeight="1" x14ac:dyDescent="0.5">
      <c r="B943" s="4"/>
      <c r="C943" s="4"/>
      <c r="F943" s="4"/>
      <c r="H943" s="4"/>
    </row>
    <row r="944" spans="2:8" ht="25.5" customHeight="1" x14ac:dyDescent="0.5">
      <c r="B944" s="4"/>
      <c r="C944" s="4"/>
      <c r="F944" s="4"/>
      <c r="H944" s="4"/>
    </row>
    <row r="945" spans="2:8" ht="25.5" customHeight="1" x14ac:dyDescent="0.5">
      <c r="B945" s="4"/>
      <c r="C945" s="4"/>
      <c r="F945" s="4"/>
      <c r="H945" s="4"/>
    </row>
    <row r="946" spans="2:8" ht="25.5" customHeight="1" x14ac:dyDescent="0.5">
      <c r="B946" s="4"/>
      <c r="C946" s="4"/>
      <c r="F946" s="4"/>
      <c r="H946" s="4"/>
    </row>
    <row r="947" spans="2:8" ht="25.5" customHeight="1" x14ac:dyDescent="0.5">
      <c r="B947" s="4"/>
      <c r="C947" s="4"/>
      <c r="F947" s="4"/>
      <c r="H947" s="4"/>
    </row>
    <row r="948" spans="2:8" ht="25.5" customHeight="1" x14ac:dyDescent="0.5">
      <c r="B948" s="4"/>
      <c r="C948" s="4"/>
      <c r="F948" s="4"/>
      <c r="H948" s="4"/>
    </row>
    <row r="949" spans="2:8" ht="25.5" customHeight="1" x14ac:dyDescent="0.5">
      <c r="B949" s="4"/>
      <c r="C949" s="4"/>
      <c r="F949" s="4"/>
      <c r="H949" s="4"/>
    </row>
    <row r="950" spans="2:8" ht="25.5" customHeight="1" x14ac:dyDescent="0.5">
      <c r="B950" s="4"/>
      <c r="C950" s="4"/>
      <c r="F950" s="4"/>
      <c r="H950" s="4"/>
    </row>
    <row r="951" spans="2:8" ht="25.5" customHeight="1" x14ac:dyDescent="0.5">
      <c r="B951" s="4"/>
      <c r="C951" s="4"/>
      <c r="F951" s="4"/>
      <c r="H951" s="4"/>
    </row>
    <row r="952" spans="2:8" ht="25.5" customHeight="1" x14ac:dyDescent="0.5">
      <c r="B952" s="4"/>
      <c r="C952" s="4"/>
      <c r="F952" s="4"/>
      <c r="H952" s="4"/>
    </row>
    <row r="953" spans="2:8" ht="25.5" customHeight="1" x14ac:dyDescent="0.5">
      <c r="B953" s="4"/>
      <c r="C953" s="4"/>
      <c r="F953" s="4"/>
      <c r="H953" s="4"/>
    </row>
    <row r="954" spans="2:8" ht="25.5" customHeight="1" x14ac:dyDescent="0.5">
      <c r="B954" s="4"/>
      <c r="C954" s="4"/>
      <c r="F954" s="4"/>
      <c r="H954" s="4"/>
    </row>
    <row r="955" spans="2:8" ht="25.5" customHeight="1" x14ac:dyDescent="0.5">
      <c r="B955" s="4"/>
      <c r="C955" s="4"/>
      <c r="F955" s="4"/>
      <c r="H955" s="4"/>
    </row>
    <row r="956" spans="2:8" ht="25.5" customHeight="1" x14ac:dyDescent="0.5">
      <c r="B956" s="4"/>
      <c r="C956" s="4"/>
      <c r="F956" s="4"/>
      <c r="H956" s="4"/>
    </row>
    <row r="957" spans="2:8" ht="25.5" customHeight="1" x14ac:dyDescent="0.5">
      <c r="B957" s="4"/>
      <c r="C957" s="4"/>
      <c r="F957" s="4"/>
      <c r="H957" s="4"/>
    </row>
    <row r="958" spans="2:8" ht="25.5" customHeight="1" x14ac:dyDescent="0.5">
      <c r="B958" s="4"/>
      <c r="C958" s="4"/>
      <c r="F958" s="4"/>
      <c r="H958" s="4"/>
    </row>
    <row r="959" spans="2:8" ht="25.5" customHeight="1" x14ac:dyDescent="0.5">
      <c r="B959" s="4"/>
      <c r="C959" s="4"/>
      <c r="F959" s="4"/>
      <c r="H959" s="4"/>
    </row>
    <row r="960" spans="2:8" ht="25.5" customHeight="1" x14ac:dyDescent="0.5">
      <c r="B960" s="4"/>
      <c r="C960" s="4"/>
      <c r="F960" s="4"/>
      <c r="H960" s="4"/>
    </row>
    <row r="961" spans="2:8" ht="25.5" customHeight="1" x14ac:dyDescent="0.5">
      <c r="B961" s="4"/>
      <c r="C961" s="4"/>
      <c r="F961" s="4"/>
      <c r="H961" s="4"/>
    </row>
    <row r="962" spans="2:8" ht="25.5" customHeight="1" x14ac:dyDescent="0.5">
      <c r="B962" s="4"/>
      <c r="C962" s="4"/>
      <c r="F962" s="4"/>
      <c r="H962" s="4"/>
    </row>
    <row r="963" spans="2:8" ht="25.5" customHeight="1" x14ac:dyDescent="0.5">
      <c r="B963" s="4"/>
      <c r="C963" s="4"/>
      <c r="F963" s="4"/>
      <c r="H963" s="4"/>
    </row>
    <row r="964" spans="2:8" ht="25.5" customHeight="1" x14ac:dyDescent="0.5">
      <c r="B964" s="4"/>
      <c r="C964" s="4"/>
      <c r="F964" s="4"/>
      <c r="H964" s="4"/>
    </row>
    <row r="965" spans="2:8" ht="25.5" customHeight="1" x14ac:dyDescent="0.5">
      <c r="B965" s="4"/>
      <c r="C965" s="4"/>
      <c r="F965" s="4"/>
      <c r="H965" s="4"/>
    </row>
    <row r="966" spans="2:8" ht="25.5" customHeight="1" x14ac:dyDescent="0.5">
      <c r="B966" s="4"/>
      <c r="C966" s="4"/>
      <c r="F966" s="4"/>
      <c r="H966" s="4"/>
    </row>
    <row r="967" spans="2:8" ht="25.5" customHeight="1" x14ac:dyDescent="0.5">
      <c r="B967" s="4"/>
      <c r="C967" s="4"/>
      <c r="F967" s="4"/>
      <c r="H967" s="4"/>
    </row>
    <row r="968" spans="2:8" ht="25.5" customHeight="1" x14ac:dyDescent="0.5">
      <c r="B968" s="4"/>
      <c r="C968" s="4"/>
      <c r="F968" s="4"/>
      <c r="H968" s="4"/>
    </row>
    <row r="969" spans="2:8" ht="25.5" customHeight="1" x14ac:dyDescent="0.5">
      <c r="B969" s="4"/>
      <c r="C969" s="4"/>
      <c r="F969" s="4"/>
      <c r="H969" s="4"/>
    </row>
    <row r="970" spans="2:8" ht="25.5" customHeight="1" x14ac:dyDescent="0.5">
      <c r="B970" s="4"/>
      <c r="C970" s="4"/>
      <c r="F970" s="4"/>
      <c r="H970" s="4"/>
    </row>
    <row r="971" spans="2:8" ht="25.5" customHeight="1" x14ac:dyDescent="0.5">
      <c r="B971" s="4"/>
      <c r="C971" s="4"/>
      <c r="F971" s="4"/>
      <c r="H971" s="4"/>
    </row>
    <row r="972" spans="2:8" ht="25.5" customHeight="1" x14ac:dyDescent="0.5">
      <c r="B972" s="4"/>
      <c r="C972" s="4"/>
      <c r="F972" s="4"/>
      <c r="H972" s="4"/>
    </row>
    <row r="973" spans="2:8" ht="25.5" customHeight="1" x14ac:dyDescent="0.5">
      <c r="B973" s="4"/>
      <c r="C973" s="4"/>
      <c r="F973" s="4"/>
      <c r="H973" s="4"/>
    </row>
    <row r="974" spans="2:8" ht="25.5" customHeight="1" x14ac:dyDescent="0.5">
      <c r="B974" s="4"/>
      <c r="C974" s="4"/>
      <c r="F974" s="4"/>
      <c r="H974" s="4"/>
    </row>
    <row r="975" spans="2:8" ht="25.5" customHeight="1" x14ac:dyDescent="0.5">
      <c r="B975" s="4"/>
      <c r="C975" s="4"/>
      <c r="F975" s="4"/>
      <c r="H975" s="4"/>
    </row>
    <row r="976" spans="2:8" ht="25.5" customHeight="1" x14ac:dyDescent="0.5">
      <c r="B976" s="4"/>
      <c r="C976" s="4"/>
      <c r="F976" s="4"/>
      <c r="H976" s="4"/>
    </row>
    <row r="977" spans="2:8" ht="25.5" customHeight="1" x14ac:dyDescent="0.5">
      <c r="B977" s="4"/>
      <c r="C977" s="4"/>
      <c r="F977" s="4"/>
      <c r="H977" s="4"/>
    </row>
    <row r="978" spans="2:8" ht="25.5" customHeight="1" x14ac:dyDescent="0.5">
      <c r="B978" s="4"/>
      <c r="C978" s="4"/>
      <c r="F978" s="4"/>
      <c r="H978" s="4"/>
    </row>
    <row r="979" spans="2:8" ht="25.5" customHeight="1" x14ac:dyDescent="0.5">
      <c r="B979" s="4"/>
      <c r="C979" s="4"/>
      <c r="F979" s="4"/>
      <c r="H979" s="4"/>
    </row>
    <row r="980" spans="2:8" ht="25.5" customHeight="1" x14ac:dyDescent="0.5">
      <c r="B980" s="4"/>
      <c r="C980" s="4"/>
      <c r="F980" s="4"/>
      <c r="H980" s="4"/>
    </row>
    <row r="981" spans="2:8" ht="25.5" customHeight="1" x14ac:dyDescent="0.5">
      <c r="B981" s="4"/>
      <c r="C981" s="4"/>
      <c r="F981" s="4"/>
      <c r="H981" s="4"/>
    </row>
    <row r="982" spans="2:8" ht="25.5" customHeight="1" x14ac:dyDescent="0.5">
      <c r="B982" s="4"/>
      <c r="C982" s="4"/>
      <c r="F982" s="4"/>
      <c r="H982" s="4"/>
    </row>
    <row r="983" spans="2:8" ht="25.5" customHeight="1" x14ac:dyDescent="0.5">
      <c r="B983" s="4"/>
      <c r="C983" s="4"/>
      <c r="F983" s="4"/>
      <c r="H983" s="4"/>
    </row>
    <row r="984" spans="2:8" ht="25.5" customHeight="1" x14ac:dyDescent="0.5">
      <c r="B984" s="4"/>
      <c r="C984" s="4"/>
      <c r="F984" s="4"/>
      <c r="H984" s="4"/>
    </row>
    <row r="985" spans="2:8" ht="25.5" customHeight="1" x14ac:dyDescent="0.5">
      <c r="B985" s="4"/>
      <c r="C985" s="4"/>
      <c r="F985" s="4"/>
      <c r="H985" s="4"/>
    </row>
    <row r="986" spans="2:8" ht="25.5" customHeight="1" x14ac:dyDescent="0.5">
      <c r="B986" s="4"/>
      <c r="C986" s="4"/>
      <c r="F986" s="4"/>
      <c r="H986" s="4"/>
    </row>
    <row r="987" spans="2:8" ht="25.5" customHeight="1" x14ac:dyDescent="0.5">
      <c r="B987" s="4"/>
      <c r="C987" s="4"/>
      <c r="F987" s="4"/>
      <c r="H987" s="4"/>
    </row>
    <row r="988" spans="2:8" ht="25.5" customHeight="1" x14ac:dyDescent="0.5">
      <c r="B988" s="4"/>
      <c r="C988" s="4"/>
      <c r="F988" s="4"/>
      <c r="H988" s="4"/>
    </row>
    <row r="989" spans="2:8" ht="25.5" customHeight="1" x14ac:dyDescent="0.5">
      <c r="B989" s="4"/>
      <c r="C989" s="4"/>
      <c r="F989" s="4"/>
      <c r="H989" s="4"/>
    </row>
    <row r="990" spans="2:8" ht="25.5" customHeight="1" x14ac:dyDescent="0.5">
      <c r="B990" s="4"/>
      <c r="C990" s="4"/>
      <c r="F990" s="4"/>
      <c r="H990" s="4"/>
    </row>
    <row r="991" spans="2:8" ht="25.5" customHeight="1" x14ac:dyDescent="0.5">
      <c r="B991" s="4"/>
      <c r="C991" s="4"/>
      <c r="F991" s="4"/>
      <c r="H991" s="4"/>
    </row>
    <row r="992" spans="2:8" ht="25.5" customHeight="1" x14ac:dyDescent="0.5">
      <c r="B992" s="4"/>
      <c r="C992" s="4"/>
      <c r="F992" s="4"/>
      <c r="H992" s="4"/>
    </row>
    <row r="993" spans="2:8" ht="25.5" customHeight="1" x14ac:dyDescent="0.5">
      <c r="B993" s="4"/>
      <c r="C993" s="4"/>
      <c r="F993" s="4"/>
      <c r="H993" s="4"/>
    </row>
    <row r="994" spans="2:8" ht="25.5" customHeight="1" x14ac:dyDescent="0.5">
      <c r="B994" s="4"/>
      <c r="C994" s="4"/>
      <c r="F994" s="4"/>
      <c r="H994" s="4"/>
    </row>
    <row r="995" spans="2:8" ht="25.5" customHeight="1" x14ac:dyDescent="0.5">
      <c r="B995" s="4"/>
      <c r="C995" s="4"/>
      <c r="F995" s="4"/>
      <c r="H995" s="4"/>
    </row>
    <row r="996" spans="2:8" ht="25.5" customHeight="1" x14ac:dyDescent="0.5">
      <c r="B996" s="4"/>
      <c r="C996" s="4"/>
      <c r="F996" s="4"/>
      <c r="H996" s="4"/>
    </row>
    <row r="997" spans="2:8" ht="25.5" customHeight="1" x14ac:dyDescent="0.5">
      <c r="B997" s="4"/>
      <c r="C997" s="4"/>
      <c r="F997" s="4"/>
      <c r="H997" s="4"/>
    </row>
    <row r="998" spans="2:8" ht="25.5" customHeight="1" x14ac:dyDescent="0.5">
      <c r="B998" s="4"/>
      <c r="C998" s="4"/>
      <c r="F998" s="4"/>
      <c r="H998" s="4"/>
    </row>
    <row r="999" spans="2:8" ht="25.5" customHeight="1" x14ac:dyDescent="0.5">
      <c r="B999" s="4"/>
      <c r="C999" s="4"/>
      <c r="F999" s="4"/>
      <c r="H999" s="4"/>
    </row>
    <row r="1000" spans="2:8" ht="25.5" customHeight="1" x14ac:dyDescent="0.5">
      <c r="B1000" s="4"/>
      <c r="C1000" s="4"/>
      <c r="F1000" s="4"/>
      <c r="H1000" s="4"/>
    </row>
    <row r="1001" spans="2:8" ht="25.5" customHeight="1" x14ac:dyDescent="0.5">
      <c r="B1001" s="4"/>
      <c r="C1001" s="4"/>
      <c r="F1001" s="4"/>
      <c r="H1001" s="4"/>
    </row>
    <row r="1002" spans="2:8" ht="25.5" customHeight="1" x14ac:dyDescent="0.5">
      <c r="B1002" s="4"/>
      <c r="C1002" s="4"/>
      <c r="F1002" s="4"/>
      <c r="H1002" s="4"/>
    </row>
    <row r="1003" spans="2:8" ht="25.5" customHeight="1" x14ac:dyDescent="0.5">
      <c r="B1003" s="4"/>
      <c r="C1003" s="4"/>
      <c r="F1003" s="4"/>
      <c r="H1003" s="4"/>
    </row>
    <row r="1004" spans="2:8" ht="25.5" customHeight="1" x14ac:dyDescent="0.5">
      <c r="B1004" s="4"/>
      <c r="C1004" s="4"/>
      <c r="F1004" s="4"/>
      <c r="H1004" s="4"/>
    </row>
    <row r="1005" spans="2:8" ht="25.5" customHeight="1" x14ac:dyDescent="0.5">
      <c r="B1005" s="4"/>
      <c r="C1005" s="4"/>
      <c r="F1005" s="4"/>
      <c r="H1005" s="4"/>
    </row>
    <row r="1006" spans="2:8" ht="25.5" customHeight="1" x14ac:dyDescent="0.5">
      <c r="B1006" s="4"/>
      <c r="C1006" s="4"/>
      <c r="F1006" s="4"/>
      <c r="H1006" s="4"/>
    </row>
    <row r="1007" spans="2:8" ht="25.5" customHeight="1" x14ac:dyDescent="0.5">
      <c r="B1007" s="4"/>
      <c r="C1007" s="4"/>
      <c r="F1007" s="4"/>
      <c r="H1007" s="4"/>
    </row>
    <row r="1008" spans="2:8" ht="25.5" customHeight="1" x14ac:dyDescent="0.5">
      <c r="B1008" s="4"/>
      <c r="C1008" s="4"/>
      <c r="F1008" s="4"/>
      <c r="H1008" s="4"/>
    </row>
    <row r="1009" spans="2:8" ht="25.5" customHeight="1" x14ac:dyDescent="0.5">
      <c r="B1009" s="4"/>
      <c r="C1009" s="4"/>
      <c r="F1009" s="4"/>
      <c r="H1009" s="4"/>
    </row>
    <row r="1010" spans="2:8" ht="25.5" customHeight="1" x14ac:dyDescent="0.5">
      <c r="B1010" s="4"/>
      <c r="C1010" s="4"/>
      <c r="F1010" s="4"/>
      <c r="H1010" s="4"/>
    </row>
    <row r="1011" spans="2:8" ht="25.5" customHeight="1" x14ac:dyDescent="0.5">
      <c r="B1011" s="4"/>
      <c r="C1011" s="4"/>
      <c r="F1011" s="4"/>
      <c r="H1011" s="4"/>
    </row>
    <row r="1012" spans="2:8" ht="25.5" customHeight="1" x14ac:dyDescent="0.5">
      <c r="B1012" s="4"/>
      <c r="C1012" s="4"/>
      <c r="F1012" s="4"/>
      <c r="H1012" s="4"/>
    </row>
    <row r="1013" spans="2:8" ht="25.5" customHeight="1" x14ac:dyDescent="0.5">
      <c r="B1013" s="4"/>
      <c r="C1013" s="4"/>
      <c r="F1013" s="4"/>
      <c r="H1013" s="4"/>
    </row>
    <row r="1014" spans="2:8" ht="25.5" customHeight="1" x14ac:dyDescent="0.5">
      <c r="B1014" s="4"/>
      <c r="C1014" s="4"/>
      <c r="F1014" s="4"/>
      <c r="H1014" s="4"/>
    </row>
    <row r="1015" spans="2:8" ht="25.5" customHeight="1" x14ac:dyDescent="0.3"/>
    <row r="1016" spans="2:8" ht="25.5" customHeight="1" x14ac:dyDescent="0.3"/>
    <row r="1017" spans="2:8" ht="25.5" customHeight="1" x14ac:dyDescent="0.3"/>
    <row r="1018" spans="2:8" ht="25.5" customHeight="1" x14ac:dyDescent="0.3"/>
    <row r="1019" spans="2:8" ht="25.5" customHeight="1" x14ac:dyDescent="0.3"/>
    <row r="1020" spans="2:8" ht="25.5" customHeight="1" x14ac:dyDescent="0.3"/>
    <row r="1021" spans="2:8" ht="25.5" customHeight="1" x14ac:dyDescent="0.3"/>
    <row r="1022" spans="2:8" ht="25.5" customHeight="1" x14ac:dyDescent="0.3"/>
    <row r="1023" spans="2:8" ht="25.5" customHeight="1" x14ac:dyDescent="0.3"/>
    <row r="1024" spans="2:8" ht="25.5" customHeight="1" x14ac:dyDescent="0.3"/>
    <row r="1025" ht="25.5" customHeight="1" x14ac:dyDescent="0.3"/>
    <row r="1026" ht="25.5" customHeight="1" x14ac:dyDescent="0.3"/>
    <row r="1027" ht="25.5" customHeight="1" x14ac:dyDescent="0.3"/>
    <row r="1028" ht="25.5" customHeight="1" x14ac:dyDescent="0.3"/>
    <row r="1029" ht="25.5" customHeight="1" x14ac:dyDescent="0.3"/>
    <row r="1030" ht="25.5" customHeight="1" x14ac:dyDescent="0.3"/>
    <row r="1031" ht="25.5" customHeight="1" x14ac:dyDescent="0.3"/>
    <row r="1032" ht="25.5" customHeight="1" x14ac:dyDescent="0.3"/>
    <row r="1033" ht="25.5" customHeight="1" x14ac:dyDescent="0.3"/>
    <row r="1034" ht="25.5" customHeight="1" x14ac:dyDescent="0.3"/>
    <row r="1035" ht="25.5" customHeight="1" x14ac:dyDescent="0.3"/>
    <row r="1036" ht="25.5" customHeight="1" x14ac:dyDescent="0.3"/>
    <row r="1037" ht="25.5" customHeight="1" x14ac:dyDescent="0.3"/>
    <row r="1038" ht="25.5" customHeight="1" x14ac:dyDescent="0.3"/>
    <row r="1039" ht="25.5" customHeight="1" x14ac:dyDescent="0.3"/>
    <row r="1040" ht="25.5" customHeight="1" x14ac:dyDescent="0.3"/>
    <row r="1041" ht="25.5" customHeight="1" x14ac:dyDescent="0.3"/>
    <row r="1042" ht="25.5" customHeight="1" x14ac:dyDescent="0.3"/>
    <row r="1043" ht="25.5" customHeight="1" x14ac:dyDescent="0.3"/>
    <row r="1044" ht="25.5" customHeight="1" x14ac:dyDescent="0.3"/>
    <row r="1045" ht="25.5" customHeight="1" x14ac:dyDescent="0.3"/>
    <row r="1046" ht="25.5" customHeight="1" x14ac:dyDescent="0.3"/>
    <row r="1047" ht="25.5" customHeight="1" x14ac:dyDescent="0.3"/>
    <row r="1048" ht="25.5" customHeight="1" x14ac:dyDescent="0.3"/>
    <row r="1049" ht="25.5" customHeight="1" x14ac:dyDescent="0.3"/>
    <row r="1050" ht="25.5" customHeight="1" x14ac:dyDescent="0.3"/>
    <row r="1051" ht="25.5" customHeight="1" x14ac:dyDescent="0.3"/>
    <row r="1052" ht="25.5" customHeight="1" x14ac:dyDescent="0.3"/>
    <row r="1053" ht="25.5" customHeight="1" x14ac:dyDescent="0.3"/>
    <row r="1054" ht="25.5" customHeight="1" x14ac:dyDescent="0.3"/>
    <row r="1055" ht="25.5" customHeight="1" x14ac:dyDescent="0.3"/>
    <row r="1056" ht="25.5" customHeight="1" x14ac:dyDescent="0.3"/>
    <row r="1057" ht="25.5" customHeight="1" x14ac:dyDescent="0.3"/>
    <row r="1058" ht="25.5" customHeight="1" x14ac:dyDescent="0.3"/>
    <row r="1059" ht="25.5" customHeight="1" x14ac:dyDescent="0.3"/>
    <row r="1060" ht="25.5" customHeight="1" x14ac:dyDescent="0.3"/>
    <row r="1061" ht="25.5" customHeight="1" x14ac:dyDescent="0.3"/>
    <row r="1062" ht="25.5" customHeight="1" x14ac:dyDescent="0.3"/>
    <row r="1063" ht="25.5" customHeight="1" x14ac:dyDescent="0.3"/>
    <row r="1064" ht="25.5" customHeight="1" x14ac:dyDescent="0.3"/>
    <row r="1065" ht="25.5" customHeight="1" x14ac:dyDescent="0.3"/>
    <row r="1066" ht="25.5" customHeight="1" x14ac:dyDescent="0.3"/>
    <row r="1067" ht="25.5" customHeight="1" x14ac:dyDescent="0.3"/>
    <row r="1068" ht="25.5" customHeight="1" x14ac:dyDescent="0.3"/>
    <row r="1069" ht="25.5" customHeight="1" x14ac:dyDescent="0.3"/>
    <row r="1070" ht="25.5" customHeight="1" x14ac:dyDescent="0.3"/>
    <row r="1071" ht="25.5" customHeight="1" x14ac:dyDescent="0.3"/>
    <row r="1072" ht="25.5" customHeight="1" x14ac:dyDescent="0.3"/>
    <row r="1073" ht="25.5" customHeight="1" x14ac:dyDescent="0.3"/>
    <row r="1074" ht="25.5" customHeight="1" x14ac:dyDescent="0.3"/>
    <row r="1075" ht="25.5" customHeight="1" x14ac:dyDescent="0.3"/>
    <row r="1076" ht="25.5" customHeight="1" x14ac:dyDescent="0.3"/>
    <row r="1077" ht="25.5" customHeight="1" x14ac:dyDescent="0.3"/>
    <row r="1078" ht="25.5" customHeight="1" x14ac:dyDescent="0.3"/>
    <row r="1079" ht="25.5" customHeight="1" x14ac:dyDescent="0.3"/>
    <row r="1080" ht="25.5" customHeight="1" x14ac:dyDescent="0.3"/>
    <row r="1081" ht="25.5" customHeight="1" x14ac:dyDescent="0.3"/>
    <row r="1082" ht="25.5" customHeight="1" x14ac:dyDescent="0.3"/>
    <row r="1083" ht="25.5" customHeight="1" x14ac:dyDescent="0.3"/>
    <row r="1084" ht="25.5" customHeight="1" x14ac:dyDescent="0.3"/>
    <row r="1085" ht="25.5" customHeight="1" x14ac:dyDescent="0.3"/>
    <row r="1086" ht="25.5" customHeight="1" x14ac:dyDescent="0.3"/>
    <row r="1087" ht="25.5" customHeight="1" x14ac:dyDescent="0.3"/>
    <row r="1088" ht="25.5" customHeight="1" x14ac:dyDescent="0.3"/>
    <row r="1089" ht="25.5" customHeight="1" x14ac:dyDescent="0.3"/>
    <row r="1090" ht="25.5" customHeight="1" x14ac:dyDescent="0.3"/>
    <row r="1091" ht="25.5" customHeight="1" x14ac:dyDescent="0.3"/>
    <row r="1092" ht="25.5" customHeight="1" x14ac:dyDescent="0.3"/>
    <row r="1093" ht="25.5" customHeight="1" x14ac:dyDescent="0.3"/>
    <row r="1094" ht="25.5" customHeight="1" x14ac:dyDescent="0.3"/>
    <row r="1095" ht="25.5" customHeight="1" x14ac:dyDescent="0.3"/>
    <row r="1096" ht="25.5" customHeight="1" x14ac:dyDescent="0.3"/>
    <row r="1097" ht="25.5" customHeight="1" x14ac:dyDescent="0.3"/>
    <row r="1098" ht="25.5" customHeight="1" x14ac:dyDescent="0.3"/>
    <row r="1099" ht="25.5" customHeight="1" x14ac:dyDescent="0.3"/>
    <row r="1100" ht="25.5" customHeight="1" x14ac:dyDescent="0.3"/>
    <row r="1101" ht="25.5" customHeight="1" x14ac:dyDescent="0.3"/>
    <row r="1102" ht="25.5" customHeight="1" x14ac:dyDescent="0.3"/>
    <row r="1103" ht="25.5" customHeight="1" x14ac:dyDescent="0.3"/>
    <row r="1104" ht="25.5" customHeight="1" x14ac:dyDescent="0.3"/>
    <row r="1105" ht="25.5" customHeight="1" x14ac:dyDescent="0.3"/>
    <row r="1106" ht="25.5" customHeight="1" x14ac:dyDescent="0.3"/>
    <row r="1107" ht="25.5" customHeight="1" x14ac:dyDescent="0.3"/>
    <row r="1108" ht="25.5" customHeight="1" x14ac:dyDescent="0.3"/>
    <row r="1109" ht="25.5" customHeight="1" x14ac:dyDescent="0.3"/>
    <row r="1110" ht="25.5" customHeight="1" x14ac:dyDescent="0.3"/>
    <row r="1111" ht="25.5" customHeight="1" x14ac:dyDescent="0.3"/>
    <row r="1112" ht="25.5" customHeight="1" x14ac:dyDescent="0.3"/>
    <row r="1113" ht="25.5" customHeight="1" x14ac:dyDescent="0.3"/>
    <row r="1114" ht="25.5" customHeight="1" x14ac:dyDescent="0.3"/>
    <row r="1115" ht="25.5" customHeight="1" x14ac:dyDescent="0.3"/>
    <row r="1116" ht="25.5" customHeight="1" x14ac:dyDescent="0.3"/>
    <row r="1117" ht="25.5" customHeight="1" x14ac:dyDescent="0.3"/>
    <row r="1118" ht="25.5" customHeight="1" x14ac:dyDescent="0.3"/>
    <row r="1119" ht="25.5" customHeight="1" x14ac:dyDescent="0.3"/>
    <row r="1120" ht="25.5" customHeight="1" x14ac:dyDescent="0.3"/>
    <row r="1121" ht="25.5" customHeight="1" x14ac:dyDescent="0.3"/>
    <row r="1122" ht="25.5" customHeight="1" x14ac:dyDescent="0.3"/>
    <row r="1123" ht="25.5" customHeight="1" x14ac:dyDescent="0.3"/>
    <row r="1124" ht="25.5" customHeight="1" x14ac:dyDescent="0.3"/>
    <row r="1125" ht="25.5" customHeight="1" x14ac:dyDescent="0.3"/>
    <row r="1126" ht="25.5" customHeight="1" x14ac:dyDescent="0.3"/>
    <row r="1127" ht="25.5" customHeight="1" x14ac:dyDescent="0.3"/>
    <row r="1128" ht="25.5" customHeight="1" x14ac:dyDescent="0.3"/>
    <row r="1129" ht="25.5" customHeight="1" x14ac:dyDescent="0.3"/>
    <row r="1130" ht="25.5" customHeight="1" x14ac:dyDescent="0.3"/>
    <row r="1131" ht="25.5" customHeight="1" x14ac:dyDescent="0.3"/>
    <row r="1132" ht="25.5" customHeight="1" x14ac:dyDescent="0.3"/>
    <row r="1133" ht="25.5" customHeight="1" x14ac:dyDescent="0.3"/>
    <row r="1134" ht="25.5" customHeight="1" x14ac:dyDescent="0.3"/>
    <row r="1135" ht="25.5" customHeight="1" x14ac:dyDescent="0.3"/>
    <row r="1136" ht="25.5" customHeight="1" x14ac:dyDescent="0.3"/>
    <row r="1137" ht="25.5" customHeight="1" x14ac:dyDescent="0.3"/>
    <row r="1138" ht="25.5" customHeight="1" x14ac:dyDescent="0.3"/>
    <row r="1139" ht="25.5" customHeight="1" x14ac:dyDescent="0.3"/>
    <row r="1140" ht="25.5" customHeight="1" x14ac:dyDescent="0.3"/>
    <row r="1141" ht="25.5" customHeight="1" x14ac:dyDescent="0.3"/>
    <row r="1142" ht="25.5" customHeight="1" x14ac:dyDescent="0.3"/>
    <row r="1143" ht="25.5" customHeight="1" x14ac:dyDescent="0.3"/>
    <row r="1144" ht="25.5" customHeight="1" x14ac:dyDescent="0.3"/>
    <row r="1145" ht="25.5" customHeight="1" x14ac:dyDescent="0.3"/>
    <row r="1146" ht="25.5" customHeight="1" x14ac:dyDescent="0.3"/>
    <row r="1147" ht="25.5" customHeight="1" x14ac:dyDescent="0.3"/>
    <row r="1148" ht="25.5" customHeight="1" x14ac:dyDescent="0.3"/>
    <row r="1149" ht="25.5" customHeight="1" x14ac:dyDescent="0.3"/>
    <row r="1150" ht="25.5" customHeight="1" x14ac:dyDescent="0.3"/>
    <row r="1151" ht="25.5" customHeight="1" x14ac:dyDescent="0.3"/>
    <row r="1152" ht="25.5" customHeight="1" x14ac:dyDescent="0.3"/>
    <row r="1153" ht="25.5" customHeight="1" x14ac:dyDescent="0.3"/>
    <row r="1154" ht="25.5" customHeight="1" x14ac:dyDescent="0.3"/>
    <row r="1155" ht="25.5" customHeight="1" x14ac:dyDescent="0.3"/>
    <row r="1156" ht="25.5" customHeight="1" x14ac:dyDescent="0.3"/>
    <row r="1157" ht="25.5" customHeight="1" x14ac:dyDescent="0.3"/>
    <row r="1158" ht="25.5" customHeight="1" x14ac:dyDescent="0.3"/>
    <row r="1159" ht="25.5" customHeight="1" x14ac:dyDescent="0.3"/>
    <row r="1160" ht="25.5" customHeight="1" x14ac:dyDescent="0.3"/>
    <row r="1161" ht="25.5" customHeight="1" x14ac:dyDescent="0.3"/>
    <row r="1162" ht="25.5" customHeight="1" x14ac:dyDescent="0.3"/>
    <row r="1163" ht="25.5" customHeight="1" x14ac:dyDescent="0.3"/>
    <row r="1164" ht="25.5" customHeight="1" x14ac:dyDescent="0.3"/>
    <row r="1165" ht="25.5" customHeight="1" x14ac:dyDescent="0.3"/>
    <row r="1166" ht="25.5" customHeight="1" x14ac:dyDescent="0.3"/>
    <row r="1167" ht="25.5" customHeight="1" x14ac:dyDescent="0.3"/>
    <row r="1168" ht="25.5" customHeight="1" x14ac:dyDescent="0.3"/>
    <row r="1169" ht="25.5" customHeight="1" x14ac:dyDescent="0.3"/>
    <row r="1170" ht="25.5" customHeight="1" x14ac:dyDescent="0.3"/>
    <row r="1171" ht="25.5" customHeight="1" x14ac:dyDescent="0.3"/>
    <row r="1172" ht="25.5" customHeight="1" x14ac:dyDescent="0.3"/>
    <row r="1173" ht="25.5" customHeight="1" x14ac:dyDescent="0.3"/>
    <row r="1174" ht="25.5" customHeight="1" x14ac:dyDescent="0.3"/>
    <row r="1175" ht="25.5" customHeight="1" x14ac:dyDescent="0.3"/>
    <row r="1176" ht="25.5" customHeight="1" x14ac:dyDescent="0.3"/>
    <row r="1177" ht="25.5" customHeight="1" x14ac:dyDescent="0.3"/>
    <row r="1178" ht="25.5" customHeight="1" x14ac:dyDescent="0.3"/>
    <row r="1179" ht="25.5" customHeight="1" x14ac:dyDescent="0.3"/>
    <row r="1180" ht="25.5" customHeight="1" x14ac:dyDescent="0.3"/>
    <row r="1181" ht="25.5" customHeight="1" x14ac:dyDescent="0.3"/>
    <row r="1182" ht="25.5" customHeight="1" x14ac:dyDescent="0.3"/>
    <row r="1183" ht="25.5" customHeight="1" x14ac:dyDescent="0.3"/>
    <row r="1184" ht="25.5" customHeight="1" x14ac:dyDescent="0.3"/>
    <row r="1185" ht="25.5" customHeight="1" x14ac:dyDescent="0.3"/>
    <row r="1186" ht="25.5" customHeight="1" x14ac:dyDescent="0.3"/>
    <row r="1187" ht="25.5" customHeight="1" x14ac:dyDescent="0.3"/>
    <row r="1188" ht="25.5" customHeight="1" x14ac:dyDescent="0.3"/>
    <row r="1189" ht="25.5" customHeight="1" x14ac:dyDescent="0.3"/>
    <row r="1190" ht="25.5" customHeight="1" x14ac:dyDescent="0.3"/>
    <row r="1191" ht="25.5" customHeight="1" x14ac:dyDescent="0.3"/>
    <row r="1192" ht="25.5" customHeight="1" x14ac:dyDescent="0.3"/>
    <row r="1193" ht="25.5" customHeight="1" x14ac:dyDescent="0.3"/>
    <row r="1194" ht="25.5" customHeight="1" x14ac:dyDescent="0.3"/>
    <row r="1195" ht="25.5" customHeight="1" x14ac:dyDescent="0.3"/>
    <row r="1196" ht="25.5" customHeight="1" x14ac:dyDescent="0.3"/>
    <row r="1197" ht="25.5" customHeight="1" x14ac:dyDescent="0.3"/>
    <row r="1198" ht="25.5" customHeight="1" x14ac:dyDescent="0.3"/>
    <row r="1199" ht="25.5" customHeight="1" x14ac:dyDescent="0.3"/>
    <row r="1200" ht="25.5" customHeight="1" x14ac:dyDescent="0.3"/>
    <row r="1201" ht="25.5" customHeight="1" x14ac:dyDescent="0.3"/>
    <row r="1202" ht="25.5" customHeight="1" x14ac:dyDescent="0.3"/>
    <row r="1203" ht="25.5" customHeight="1" x14ac:dyDescent="0.3"/>
    <row r="1204" ht="25.5" customHeight="1" x14ac:dyDescent="0.3"/>
    <row r="1205" ht="25.5" customHeight="1" x14ac:dyDescent="0.3"/>
    <row r="1206" ht="25.5" customHeight="1" x14ac:dyDescent="0.3"/>
    <row r="1207" ht="25.5" customHeight="1" x14ac:dyDescent="0.3"/>
    <row r="1208" ht="25.5" customHeight="1" x14ac:dyDescent="0.3"/>
    <row r="1209" ht="25.5" customHeight="1" x14ac:dyDescent="0.3"/>
    <row r="1210" ht="25.5" customHeight="1" x14ac:dyDescent="0.3"/>
    <row r="1211" ht="25.5" customHeight="1" x14ac:dyDescent="0.3"/>
    <row r="1212" ht="25.5" customHeight="1" x14ac:dyDescent="0.3"/>
    <row r="1213" ht="25.5" customHeight="1" x14ac:dyDescent="0.3"/>
    <row r="1214" ht="25.5" customHeight="1" x14ac:dyDescent="0.3"/>
    <row r="1215" ht="25.5" customHeight="1" x14ac:dyDescent="0.3"/>
    <row r="1216" ht="25.5" customHeight="1" x14ac:dyDescent="0.3"/>
    <row r="1217" ht="25.5" customHeight="1" x14ac:dyDescent="0.3"/>
    <row r="1218" ht="25.5" customHeight="1" x14ac:dyDescent="0.3"/>
    <row r="1219" ht="25.5" customHeight="1" x14ac:dyDescent="0.3"/>
    <row r="1220" ht="25.5" customHeight="1" x14ac:dyDescent="0.3"/>
    <row r="1221" ht="25.5" customHeight="1" x14ac:dyDescent="0.3"/>
    <row r="1222" ht="25.5" customHeight="1" x14ac:dyDescent="0.3"/>
    <row r="1223" ht="25.5" customHeight="1" x14ac:dyDescent="0.3"/>
    <row r="1224" ht="25.5" customHeight="1" x14ac:dyDescent="0.3"/>
    <row r="1225" ht="25.5" customHeight="1" x14ac:dyDescent="0.3"/>
    <row r="1226" ht="25.5" customHeight="1" x14ac:dyDescent="0.3"/>
    <row r="1227" ht="25.5" customHeight="1" x14ac:dyDescent="0.3"/>
    <row r="1228" ht="25.5" customHeight="1" x14ac:dyDescent="0.3"/>
    <row r="1229" ht="25.5" customHeight="1" x14ac:dyDescent="0.3"/>
    <row r="1230" ht="25.5" customHeight="1" x14ac:dyDescent="0.3"/>
    <row r="1231" ht="25.5" customHeight="1" x14ac:dyDescent="0.3"/>
    <row r="1232" ht="25.5" customHeight="1" x14ac:dyDescent="0.3"/>
    <row r="1233" ht="25.5" customHeight="1" x14ac:dyDescent="0.3"/>
    <row r="1234" ht="25.5" customHeight="1" x14ac:dyDescent="0.3"/>
    <row r="1235" ht="25.5" customHeight="1" x14ac:dyDescent="0.3"/>
    <row r="1236" ht="25.5" customHeight="1" x14ac:dyDescent="0.3"/>
    <row r="1237" ht="25.5" customHeight="1" x14ac:dyDescent="0.3"/>
    <row r="1238" ht="25.5" customHeight="1" x14ac:dyDescent="0.3"/>
    <row r="1239" ht="25.5" customHeight="1" x14ac:dyDescent="0.3"/>
    <row r="1240" ht="25.5" customHeight="1" x14ac:dyDescent="0.3"/>
    <row r="1241" ht="25.5" customHeight="1" x14ac:dyDescent="0.3"/>
    <row r="1242" ht="25.5" customHeight="1" x14ac:dyDescent="0.3"/>
    <row r="1243" ht="25.5" customHeight="1" x14ac:dyDescent="0.3"/>
    <row r="1244" ht="25.5" customHeight="1" x14ac:dyDescent="0.3"/>
    <row r="1245" ht="25.5" customHeight="1" x14ac:dyDescent="0.3"/>
    <row r="1246" ht="25.5" customHeight="1" x14ac:dyDescent="0.3"/>
    <row r="1247" ht="25.5" customHeight="1" x14ac:dyDescent="0.3"/>
    <row r="1248" ht="25.5" customHeight="1" x14ac:dyDescent="0.3"/>
    <row r="1249" ht="25.5" customHeight="1" x14ac:dyDescent="0.3"/>
    <row r="1250" ht="25.5" customHeight="1" x14ac:dyDescent="0.3"/>
    <row r="1251" ht="25.5" customHeight="1" x14ac:dyDescent="0.3"/>
    <row r="1252" ht="25.5" customHeight="1" x14ac:dyDescent="0.3"/>
    <row r="1253" ht="25.5" customHeight="1" x14ac:dyDescent="0.3"/>
    <row r="1254" ht="25.5" customHeight="1" x14ac:dyDescent="0.3"/>
    <row r="1255" ht="25.5" customHeight="1" x14ac:dyDescent="0.3"/>
    <row r="1256" ht="25.5" customHeight="1" x14ac:dyDescent="0.3"/>
    <row r="1257" ht="25.5" customHeight="1" x14ac:dyDescent="0.3"/>
    <row r="1258" ht="25.5" customHeight="1" x14ac:dyDescent="0.3"/>
    <row r="1259" ht="25.5" customHeight="1" x14ac:dyDescent="0.3"/>
    <row r="1260" ht="25.5" customHeight="1" x14ac:dyDescent="0.3"/>
    <row r="1261" ht="25.5" customHeight="1" x14ac:dyDescent="0.3"/>
    <row r="1262" ht="25.5" customHeight="1" x14ac:dyDescent="0.3"/>
    <row r="1263" ht="25.5" customHeight="1" x14ac:dyDescent="0.3"/>
    <row r="1264" ht="25.5" customHeight="1" x14ac:dyDescent="0.3"/>
    <row r="1265" ht="25.5" customHeight="1" x14ac:dyDescent="0.3"/>
    <row r="1266" ht="25.5" customHeight="1" x14ac:dyDescent="0.3"/>
    <row r="1267" ht="25.5" customHeight="1" x14ac:dyDescent="0.3"/>
    <row r="1268" ht="25.5" customHeight="1" x14ac:dyDescent="0.3"/>
    <row r="1269" ht="25.5" customHeight="1" x14ac:dyDescent="0.3"/>
    <row r="1270" ht="25.5" customHeight="1" x14ac:dyDescent="0.3"/>
    <row r="1271" ht="25.5" customHeight="1" x14ac:dyDescent="0.3"/>
    <row r="1272" ht="25.5" customHeight="1" x14ac:dyDescent="0.3"/>
    <row r="1273" ht="25.5" customHeight="1" x14ac:dyDescent="0.3"/>
    <row r="1274" ht="25.5" customHeight="1" x14ac:dyDescent="0.3"/>
    <row r="1275" ht="25.5" customHeight="1" x14ac:dyDescent="0.3"/>
    <row r="1276" ht="25.5" customHeight="1" x14ac:dyDescent="0.3"/>
    <row r="1277" ht="25.5" customHeight="1" x14ac:dyDescent="0.3"/>
    <row r="1278" ht="25.5" customHeight="1" x14ac:dyDescent="0.3"/>
    <row r="1279" ht="25.5" customHeight="1" x14ac:dyDescent="0.3"/>
    <row r="1280" ht="25.5" customHeight="1" x14ac:dyDescent="0.3"/>
    <row r="1281" ht="25.5" customHeight="1" x14ac:dyDescent="0.3"/>
    <row r="1282" ht="25.5" customHeight="1" x14ac:dyDescent="0.3"/>
    <row r="1283" ht="25.5" customHeight="1" x14ac:dyDescent="0.3"/>
    <row r="1284" ht="25.5" customHeight="1" x14ac:dyDescent="0.3"/>
    <row r="1285" ht="25.5" customHeight="1" x14ac:dyDescent="0.3"/>
    <row r="1286" ht="25.5" customHeight="1" x14ac:dyDescent="0.3"/>
    <row r="1287" ht="25.5" customHeight="1" x14ac:dyDescent="0.3"/>
    <row r="1288" ht="25.5" customHeight="1" x14ac:dyDescent="0.3"/>
    <row r="1289" ht="25.5" customHeight="1" x14ac:dyDescent="0.3"/>
    <row r="1290" ht="25.5" customHeight="1" x14ac:dyDescent="0.3"/>
    <row r="1291" ht="25.5" customHeight="1" x14ac:dyDescent="0.3"/>
    <row r="1292" ht="25.5" customHeight="1" x14ac:dyDescent="0.3"/>
    <row r="1293" ht="25.5" customHeight="1" x14ac:dyDescent="0.3"/>
    <row r="1294" ht="25.5" customHeight="1" x14ac:dyDescent="0.3"/>
    <row r="1295" ht="25.5" customHeight="1" x14ac:dyDescent="0.3"/>
    <row r="1296" ht="25.5" customHeight="1" x14ac:dyDescent="0.3"/>
    <row r="1297" ht="25.5" customHeight="1" x14ac:dyDescent="0.3"/>
    <row r="1298" ht="25.5" customHeight="1" x14ac:dyDescent="0.3"/>
    <row r="1299" ht="25.5" customHeight="1" x14ac:dyDescent="0.3"/>
    <row r="1300" ht="25.5" customHeight="1" x14ac:dyDescent="0.3"/>
    <row r="1301" ht="25.5" customHeight="1" x14ac:dyDescent="0.3"/>
    <row r="1302" ht="25.5" customHeight="1" x14ac:dyDescent="0.3"/>
    <row r="1303" ht="25.5" customHeight="1" x14ac:dyDescent="0.3"/>
    <row r="1304" ht="25.5" customHeight="1" x14ac:dyDescent="0.3"/>
    <row r="1305" ht="25.5" customHeight="1" x14ac:dyDescent="0.3"/>
    <row r="1306" ht="25.5" customHeight="1" x14ac:dyDescent="0.3"/>
    <row r="1307" ht="25.5" customHeight="1" x14ac:dyDescent="0.3"/>
    <row r="1308" ht="25.5" customHeight="1" x14ac:dyDescent="0.3"/>
    <row r="1309" ht="25.5" customHeight="1" x14ac:dyDescent="0.3"/>
    <row r="1310" ht="25.5" customHeight="1" x14ac:dyDescent="0.3"/>
    <row r="1311" ht="25.5" customHeight="1" x14ac:dyDescent="0.3"/>
    <row r="1312" ht="25.5" customHeight="1" x14ac:dyDescent="0.3"/>
    <row r="1313" ht="25.5" customHeight="1" x14ac:dyDescent="0.3"/>
    <row r="1314" ht="25.5" customHeight="1" x14ac:dyDescent="0.3"/>
    <row r="1315" ht="25.5" customHeight="1" x14ac:dyDescent="0.3"/>
    <row r="1316" ht="25.5" customHeight="1" x14ac:dyDescent="0.3"/>
    <row r="1317" ht="25.5" customHeight="1" x14ac:dyDescent="0.3"/>
    <row r="1318" ht="25.5" customHeight="1" x14ac:dyDescent="0.3"/>
    <row r="1319" ht="25.5" customHeight="1" x14ac:dyDescent="0.3"/>
    <row r="1320" ht="25.5" customHeight="1" x14ac:dyDescent="0.3"/>
    <row r="1321" ht="25.5" customHeight="1" x14ac:dyDescent="0.3"/>
    <row r="1322" ht="25.5" customHeight="1" x14ac:dyDescent="0.3"/>
    <row r="1323" ht="25.5" customHeight="1" x14ac:dyDescent="0.3"/>
    <row r="1324" ht="25.5" customHeight="1" x14ac:dyDescent="0.3"/>
    <row r="1325" ht="25.5" customHeight="1" x14ac:dyDescent="0.3"/>
    <row r="1326" ht="25.5" customHeight="1" x14ac:dyDescent="0.3"/>
    <row r="1327" ht="25.5" customHeight="1" x14ac:dyDescent="0.3"/>
    <row r="1328" ht="25.5" customHeight="1" x14ac:dyDescent="0.3"/>
    <row r="1329" ht="25.5" customHeight="1" x14ac:dyDescent="0.3"/>
    <row r="1330" ht="25.5" customHeight="1" x14ac:dyDescent="0.3"/>
    <row r="1331" ht="25.5" customHeight="1" x14ac:dyDescent="0.3"/>
    <row r="1332" ht="25.5" customHeight="1" x14ac:dyDescent="0.3"/>
    <row r="1333" ht="25.5" customHeight="1" x14ac:dyDescent="0.3"/>
    <row r="1334" ht="25.5" customHeight="1" x14ac:dyDescent="0.3"/>
    <row r="1335" ht="25.5" customHeight="1" x14ac:dyDescent="0.3"/>
    <row r="1336" ht="25.5" customHeight="1" x14ac:dyDescent="0.3"/>
    <row r="1337" ht="25.5" customHeight="1" x14ac:dyDescent="0.3"/>
    <row r="1338" ht="25.5" customHeight="1" x14ac:dyDescent="0.3"/>
    <row r="1339" ht="25.5" customHeight="1" x14ac:dyDescent="0.3"/>
    <row r="1340" ht="25.5" customHeight="1" x14ac:dyDescent="0.3"/>
    <row r="1341" ht="25.5" customHeight="1" x14ac:dyDescent="0.3"/>
    <row r="1342" ht="25.5" customHeight="1" x14ac:dyDescent="0.3"/>
    <row r="1343" ht="25.5" customHeight="1" x14ac:dyDescent="0.3"/>
    <row r="1344" ht="25.5" customHeight="1" x14ac:dyDescent="0.3"/>
    <row r="1345" ht="25.5" customHeight="1" x14ac:dyDescent="0.3"/>
    <row r="1346" ht="25.5" customHeight="1" x14ac:dyDescent="0.3"/>
    <row r="1347" ht="25.5" customHeight="1" x14ac:dyDescent="0.3"/>
    <row r="1348" ht="25.5" customHeight="1" x14ac:dyDescent="0.3"/>
    <row r="1349" ht="25.5" customHeight="1" x14ac:dyDescent="0.3"/>
    <row r="1350" ht="25.5" customHeight="1" x14ac:dyDescent="0.3"/>
    <row r="1351" ht="25.5" customHeight="1" x14ac:dyDescent="0.3"/>
    <row r="1352" ht="25.5" customHeight="1" x14ac:dyDescent="0.3"/>
    <row r="1353" ht="25.5" customHeight="1" x14ac:dyDescent="0.3"/>
    <row r="1354" ht="25.5" customHeight="1" x14ac:dyDescent="0.3"/>
    <row r="1355" ht="25.5" customHeight="1" x14ac:dyDescent="0.3"/>
    <row r="1356" ht="25.5" customHeight="1" x14ac:dyDescent="0.3"/>
    <row r="1357" ht="25.5" customHeight="1" x14ac:dyDescent="0.3"/>
    <row r="1358" ht="25.5" customHeight="1" x14ac:dyDescent="0.3"/>
    <row r="1359" ht="25.5" customHeight="1" x14ac:dyDescent="0.3"/>
    <row r="1360" ht="25.5" customHeight="1" x14ac:dyDescent="0.3"/>
    <row r="1361" ht="25.5" customHeight="1" x14ac:dyDescent="0.3"/>
    <row r="1362" ht="25.5" customHeight="1" x14ac:dyDescent="0.3"/>
    <row r="1363" ht="25.5" customHeight="1" x14ac:dyDescent="0.3"/>
    <row r="1364" ht="25.5" customHeight="1" x14ac:dyDescent="0.3"/>
    <row r="1365" ht="25.5" customHeight="1" x14ac:dyDescent="0.3"/>
    <row r="1366" ht="25.5" customHeight="1" x14ac:dyDescent="0.3"/>
    <row r="1367" ht="25.5" customHeight="1" x14ac:dyDescent="0.3"/>
    <row r="1368" ht="25.5" customHeight="1" x14ac:dyDescent="0.3"/>
    <row r="1369" ht="25.5" customHeight="1" x14ac:dyDescent="0.3"/>
    <row r="1370" ht="25.5" customHeight="1" x14ac:dyDescent="0.3"/>
    <row r="1371" ht="25.5" customHeight="1" x14ac:dyDescent="0.3"/>
    <row r="1372" ht="25.5" customHeight="1" x14ac:dyDescent="0.3"/>
    <row r="1373" ht="25.5" customHeight="1" x14ac:dyDescent="0.3"/>
    <row r="1374" ht="25.5" customHeight="1" x14ac:dyDescent="0.3"/>
    <row r="1375" ht="25.5" customHeight="1" x14ac:dyDescent="0.3"/>
    <row r="1376" ht="25.5" customHeight="1" x14ac:dyDescent="0.3"/>
    <row r="1377" ht="25.5" customHeight="1" x14ac:dyDescent="0.3"/>
    <row r="1378" ht="25.5" customHeight="1" x14ac:dyDescent="0.3"/>
    <row r="1379" ht="25.5" customHeight="1" x14ac:dyDescent="0.3"/>
    <row r="1380" ht="25.5" customHeight="1" x14ac:dyDescent="0.3"/>
    <row r="1381" ht="25.5" customHeight="1" x14ac:dyDescent="0.3"/>
    <row r="1382" ht="25.5" customHeight="1" x14ac:dyDescent="0.3"/>
    <row r="1383" ht="25.5" customHeight="1" x14ac:dyDescent="0.3"/>
    <row r="1384" ht="25.5" customHeight="1" x14ac:dyDescent="0.3"/>
    <row r="1385" ht="25.5" customHeight="1" x14ac:dyDescent="0.3"/>
    <row r="1386" ht="25.5" customHeight="1" x14ac:dyDescent="0.3"/>
    <row r="1387" ht="25.5" customHeight="1" x14ac:dyDescent="0.3"/>
    <row r="1388" ht="25.5" customHeight="1" x14ac:dyDescent="0.3"/>
    <row r="1389" ht="25.5" customHeight="1" x14ac:dyDescent="0.3"/>
    <row r="1390" ht="25.5" customHeight="1" x14ac:dyDescent="0.3"/>
    <row r="1391" ht="25.5" customHeight="1" x14ac:dyDescent="0.3"/>
    <row r="1392" ht="25.5" customHeight="1" x14ac:dyDescent="0.3"/>
    <row r="1393" ht="25.5" customHeight="1" x14ac:dyDescent="0.3"/>
    <row r="1394" ht="25.5" customHeight="1" x14ac:dyDescent="0.3"/>
    <row r="1395" ht="25.5" customHeight="1" x14ac:dyDescent="0.3"/>
    <row r="1396" ht="25.5" customHeight="1" x14ac:dyDescent="0.3"/>
    <row r="1397" ht="25.5" customHeight="1" x14ac:dyDescent="0.3"/>
    <row r="1398" ht="25.5" customHeight="1" x14ac:dyDescent="0.3"/>
    <row r="1399" ht="25.5" customHeight="1" x14ac:dyDescent="0.3"/>
    <row r="1400" ht="25.5" customHeight="1" x14ac:dyDescent="0.3"/>
    <row r="1401" ht="25.5" customHeight="1" x14ac:dyDescent="0.3"/>
    <row r="1402" ht="25.5" customHeight="1" x14ac:dyDescent="0.3"/>
    <row r="1403" ht="25.5" customHeight="1" x14ac:dyDescent="0.3"/>
    <row r="1404" ht="25.5" customHeight="1" x14ac:dyDescent="0.3"/>
    <row r="1405" ht="25.5" customHeight="1" x14ac:dyDescent="0.3"/>
    <row r="1406" ht="25.5" customHeight="1" x14ac:dyDescent="0.3"/>
    <row r="1407" ht="25.5" customHeight="1" x14ac:dyDescent="0.3"/>
    <row r="1408" ht="25.5" customHeight="1" x14ac:dyDescent="0.3"/>
    <row r="1409" ht="25.5" customHeight="1" x14ac:dyDescent="0.3"/>
    <row r="1410" ht="25.5" customHeight="1" x14ac:dyDescent="0.3"/>
    <row r="1411" ht="25.5" customHeight="1" x14ac:dyDescent="0.3"/>
    <row r="1412" ht="25.5" customHeight="1" x14ac:dyDescent="0.3"/>
    <row r="1413" ht="25.5" customHeight="1" x14ac:dyDescent="0.3"/>
    <row r="1414" ht="25.5" customHeight="1" x14ac:dyDescent="0.3"/>
    <row r="1415" ht="25.5" customHeight="1" x14ac:dyDescent="0.3"/>
    <row r="1416" ht="25.5" customHeight="1" x14ac:dyDescent="0.3"/>
    <row r="1417" ht="25.5" customHeight="1" x14ac:dyDescent="0.3"/>
    <row r="1418" ht="25.5" customHeight="1" x14ac:dyDescent="0.3"/>
    <row r="1419" ht="25.5" customHeight="1" x14ac:dyDescent="0.3"/>
    <row r="1420" ht="25.5" customHeight="1" x14ac:dyDescent="0.3"/>
    <row r="1421" ht="25.5" customHeight="1" x14ac:dyDescent="0.3"/>
    <row r="1422" ht="25.5" customHeight="1" x14ac:dyDescent="0.3"/>
    <row r="1423" ht="25.5" customHeight="1" x14ac:dyDescent="0.3"/>
    <row r="1424" ht="25.5" customHeight="1" x14ac:dyDescent="0.3"/>
    <row r="1425" ht="25.5" customHeight="1" x14ac:dyDescent="0.3"/>
    <row r="1426" ht="25.5" customHeight="1" x14ac:dyDescent="0.3"/>
    <row r="1427" ht="25.5" customHeight="1" x14ac:dyDescent="0.3"/>
    <row r="1428" ht="25.5" customHeight="1" x14ac:dyDescent="0.3"/>
    <row r="1429" ht="25.5" customHeight="1" x14ac:dyDescent="0.3"/>
    <row r="1430" ht="25.5" customHeight="1" x14ac:dyDescent="0.3"/>
    <row r="1431" ht="25.5" customHeight="1" x14ac:dyDescent="0.3"/>
    <row r="1432" ht="25.5" customHeight="1" x14ac:dyDescent="0.3"/>
    <row r="1433" ht="25.5" customHeight="1" x14ac:dyDescent="0.3"/>
    <row r="1434" ht="25.5" customHeight="1" x14ac:dyDescent="0.3"/>
    <row r="1435" ht="25.5" customHeight="1" x14ac:dyDescent="0.3"/>
    <row r="1436" ht="25.5" customHeight="1" x14ac:dyDescent="0.3"/>
    <row r="1437" ht="25.5" customHeight="1" x14ac:dyDescent="0.3"/>
    <row r="1438" ht="25.5" customHeight="1" x14ac:dyDescent="0.3"/>
    <row r="1439" ht="25.5" customHeight="1" x14ac:dyDescent="0.3"/>
    <row r="1440" ht="25.5" customHeight="1" x14ac:dyDescent="0.3"/>
    <row r="1441" ht="25.5" customHeight="1" x14ac:dyDescent="0.3"/>
    <row r="1442" ht="25.5" customHeight="1" x14ac:dyDescent="0.3"/>
    <row r="1443" ht="25.5" customHeight="1" x14ac:dyDescent="0.3"/>
    <row r="1444" ht="25.5" customHeight="1" x14ac:dyDescent="0.3"/>
    <row r="1445" ht="25.5" customHeight="1" x14ac:dyDescent="0.3"/>
    <row r="1446" ht="25.5" customHeight="1" x14ac:dyDescent="0.3"/>
    <row r="1447" ht="25.5" customHeight="1" x14ac:dyDescent="0.3"/>
    <row r="1448" ht="25.5" customHeight="1" x14ac:dyDescent="0.3"/>
    <row r="1449" ht="25.5" customHeight="1" x14ac:dyDescent="0.3"/>
    <row r="1450" ht="25.5" customHeight="1" x14ac:dyDescent="0.3"/>
    <row r="1451" ht="25.5" customHeight="1" x14ac:dyDescent="0.3"/>
    <row r="1452" ht="25.5" customHeight="1" x14ac:dyDescent="0.3"/>
    <row r="1453" ht="25.5" customHeight="1" x14ac:dyDescent="0.3"/>
    <row r="1454" ht="25.5" customHeight="1" x14ac:dyDescent="0.3"/>
    <row r="1455" ht="25.5" customHeight="1" x14ac:dyDescent="0.3"/>
    <row r="1456" ht="25.5" customHeight="1" x14ac:dyDescent="0.3"/>
    <row r="1457" ht="25.5" customHeight="1" x14ac:dyDescent="0.3"/>
    <row r="1458" ht="25.5" customHeight="1" x14ac:dyDescent="0.3"/>
    <row r="1459" ht="25.5" customHeight="1" x14ac:dyDescent="0.3"/>
    <row r="1460" ht="25.5" customHeight="1" x14ac:dyDescent="0.3"/>
    <row r="1461" ht="25.5" customHeight="1" x14ac:dyDescent="0.3"/>
    <row r="1462" ht="25.5" customHeight="1" x14ac:dyDescent="0.3"/>
    <row r="1463" ht="25.5" customHeight="1" x14ac:dyDescent="0.3"/>
    <row r="1464" ht="25.5" customHeight="1" x14ac:dyDescent="0.3"/>
    <row r="1465" ht="25.5" customHeight="1" x14ac:dyDescent="0.3"/>
    <row r="1466" ht="25.5" customHeight="1" x14ac:dyDescent="0.3"/>
    <row r="1467" ht="25.5" customHeight="1" x14ac:dyDescent="0.3"/>
    <row r="1468" ht="25.5" customHeight="1" x14ac:dyDescent="0.3"/>
    <row r="1469" ht="25.5" customHeight="1" x14ac:dyDescent="0.3"/>
    <row r="1470" ht="25.5" customHeight="1" x14ac:dyDescent="0.3"/>
    <row r="1471" ht="25.5" customHeight="1" x14ac:dyDescent="0.3"/>
    <row r="1472" ht="25.5" customHeight="1" x14ac:dyDescent="0.3"/>
    <row r="1473" ht="25.5" customHeight="1" x14ac:dyDescent="0.3"/>
    <row r="1474" ht="25.5" customHeight="1" x14ac:dyDescent="0.3"/>
    <row r="1475" ht="25.5" customHeight="1" x14ac:dyDescent="0.3"/>
    <row r="1476" ht="25.5" customHeight="1" x14ac:dyDescent="0.3"/>
    <row r="1477" ht="25.5" customHeight="1" x14ac:dyDescent="0.3"/>
    <row r="1478" ht="25.5" customHeight="1" x14ac:dyDescent="0.3"/>
    <row r="1479" ht="25.5" customHeight="1" x14ac:dyDescent="0.3"/>
    <row r="1480" ht="25.5" customHeight="1" x14ac:dyDescent="0.3"/>
    <row r="1481" ht="25.5" customHeight="1" x14ac:dyDescent="0.3"/>
    <row r="1482" ht="25.5" customHeight="1" x14ac:dyDescent="0.3"/>
    <row r="1483" ht="25.5" customHeight="1" x14ac:dyDescent="0.3"/>
    <row r="1484" ht="25.5" customHeight="1" x14ac:dyDescent="0.3"/>
    <row r="1485" ht="25.5" customHeight="1" x14ac:dyDescent="0.3"/>
    <row r="1486" ht="25.5" customHeight="1" x14ac:dyDescent="0.3"/>
    <row r="1487" ht="25.5" customHeight="1" x14ac:dyDescent="0.3"/>
    <row r="1488" ht="25.5" customHeight="1" x14ac:dyDescent="0.3"/>
    <row r="1489" ht="25.5" customHeight="1" x14ac:dyDescent="0.3"/>
    <row r="1490" ht="25.5" customHeight="1" x14ac:dyDescent="0.3"/>
    <row r="1491" ht="25.5" customHeight="1" x14ac:dyDescent="0.3"/>
    <row r="1492" ht="25.5" customHeight="1" x14ac:dyDescent="0.3"/>
    <row r="1493" ht="25.5" customHeight="1" x14ac:dyDescent="0.3"/>
    <row r="1494" ht="25.5" customHeight="1" x14ac:dyDescent="0.3"/>
    <row r="1495" ht="25.5" customHeight="1" x14ac:dyDescent="0.3"/>
    <row r="1496" ht="25.5" customHeight="1" x14ac:dyDescent="0.3"/>
    <row r="1497" ht="25.5" customHeight="1" x14ac:dyDescent="0.3"/>
    <row r="1498" ht="25.5" customHeight="1" x14ac:dyDescent="0.3"/>
    <row r="1499" ht="25.5" customHeight="1" x14ac:dyDescent="0.3"/>
    <row r="1500" ht="25.5" customHeight="1" x14ac:dyDescent="0.3"/>
    <row r="1501" ht="25.5" customHeight="1" x14ac:dyDescent="0.3"/>
    <row r="1502" ht="25.5" customHeight="1" x14ac:dyDescent="0.3"/>
    <row r="1503" ht="25.5" customHeight="1" x14ac:dyDescent="0.3"/>
    <row r="1504" ht="25.5" customHeight="1" x14ac:dyDescent="0.3"/>
    <row r="1505" ht="25.5" customHeight="1" x14ac:dyDescent="0.3"/>
    <row r="1506" ht="25.5" customHeight="1" x14ac:dyDescent="0.3"/>
    <row r="1507" ht="25.5" customHeight="1" x14ac:dyDescent="0.3"/>
    <row r="1508" ht="25.5" customHeight="1" x14ac:dyDescent="0.3"/>
    <row r="1509" ht="25.5" customHeight="1" x14ac:dyDescent="0.3"/>
    <row r="1510" ht="25.5" customHeight="1" x14ac:dyDescent="0.3"/>
    <row r="1511" ht="25.5" customHeight="1" x14ac:dyDescent="0.3"/>
    <row r="1512" ht="25.5" customHeight="1" x14ac:dyDescent="0.3"/>
    <row r="1513" ht="25.5" customHeight="1" x14ac:dyDescent="0.3"/>
    <row r="1514" ht="25.5" customHeight="1" x14ac:dyDescent="0.3"/>
    <row r="1515" ht="25.5" customHeight="1" x14ac:dyDescent="0.3"/>
    <row r="1516" ht="25.5" customHeight="1" x14ac:dyDescent="0.3"/>
    <row r="1517" ht="25.5" customHeight="1" x14ac:dyDescent="0.3"/>
    <row r="1518" ht="25.5" customHeight="1" x14ac:dyDescent="0.3"/>
    <row r="1519" ht="25.5" customHeight="1" x14ac:dyDescent="0.3"/>
    <row r="1520" ht="25.5" customHeight="1" x14ac:dyDescent="0.3"/>
    <row r="1521" ht="25.5" customHeight="1" x14ac:dyDescent="0.3"/>
    <row r="1522" ht="25.5" customHeight="1" x14ac:dyDescent="0.3"/>
    <row r="1523" ht="25.5" customHeight="1" x14ac:dyDescent="0.3"/>
    <row r="1524" ht="25.5" customHeight="1" x14ac:dyDescent="0.3"/>
    <row r="1525" ht="25.5" customHeight="1" x14ac:dyDescent="0.3"/>
    <row r="1526" ht="25.5" customHeight="1" x14ac:dyDescent="0.3"/>
    <row r="1527" ht="25.5" customHeight="1" x14ac:dyDescent="0.3"/>
    <row r="1528" ht="25.5" customHeight="1" x14ac:dyDescent="0.3"/>
    <row r="1529" ht="25.5" customHeight="1" x14ac:dyDescent="0.3"/>
    <row r="1530" ht="25.5" customHeight="1" x14ac:dyDescent="0.3"/>
    <row r="1531" ht="25.5" customHeight="1" x14ac:dyDescent="0.3"/>
    <row r="1532" ht="25.5" customHeight="1" x14ac:dyDescent="0.3"/>
    <row r="1533" ht="25.5" customHeight="1" x14ac:dyDescent="0.3"/>
    <row r="1534" ht="25.5" customHeight="1" x14ac:dyDescent="0.3"/>
    <row r="1535" ht="25.5" customHeight="1" x14ac:dyDescent="0.3"/>
    <row r="1536" ht="25.5" customHeight="1" x14ac:dyDescent="0.3"/>
    <row r="1537" ht="25.5" customHeight="1" x14ac:dyDescent="0.3"/>
    <row r="1538" ht="25.5" customHeight="1" x14ac:dyDescent="0.3"/>
    <row r="1539" ht="25.5" customHeight="1" x14ac:dyDescent="0.3"/>
    <row r="1540" ht="25.5" customHeight="1" x14ac:dyDescent="0.3"/>
    <row r="1541" ht="25.5" customHeight="1" x14ac:dyDescent="0.3"/>
    <row r="1542" ht="25.5" customHeight="1" x14ac:dyDescent="0.3"/>
    <row r="1543" ht="25.5" customHeight="1" x14ac:dyDescent="0.3"/>
    <row r="1544" ht="25.5" customHeight="1" x14ac:dyDescent="0.3"/>
    <row r="1545" ht="25.5" customHeight="1" x14ac:dyDescent="0.3"/>
    <row r="1546" ht="25.5" customHeight="1" x14ac:dyDescent="0.3"/>
    <row r="1547" ht="25.5" customHeight="1" x14ac:dyDescent="0.3"/>
    <row r="1548" ht="25.5" customHeight="1" x14ac:dyDescent="0.3"/>
    <row r="1549" ht="25.5" customHeight="1" x14ac:dyDescent="0.3"/>
    <row r="1550" ht="25.5" customHeight="1" x14ac:dyDescent="0.3"/>
    <row r="1551" ht="25.5" customHeight="1" x14ac:dyDescent="0.3"/>
    <row r="1552" ht="25.5" customHeight="1" x14ac:dyDescent="0.3"/>
    <row r="1553" ht="25.5" customHeight="1" x14ac:dyDescent="0.3"/>
    <row r="1554" ht="25.5" customHeight="1" x14ac:dyDescent="0.3"/>
    <row r="1555" ht="25.5" customHeight="1" x14ac:dyDescent="0.3"/>
    <row r="1556" ht="25.5" customHeight="1" x14ac:dyDescent="0.3"/>
    <row r="1557" ht="25.5" customHeight="1" x14ac:dyDescent="0.3"/>
    <row r="1558" ht="25.5" customHeight="1" x14ac:dyDescent="0.3"/>
    <row r="1559" ht="25.5" customHeight="1" x14ac:dyDescent="0.3"/>
    <row r="1560" ht="25.5" customHeight="1" x14ac:dyDescent="0.3"/>
    <row r="1561" ht="25.5" customHeight="1" x14ac:dyDescent="0.3"/>
    <row r="1562" ht="25.5" customHeight="1" x14ac:dyDescent="0.3"/>
    <row r="1563" ht="25.5" customHeight="1" x14ac:dyDescent="0.3"/>
    <row r="1564" ht="25.5" customHeight="1" x14ac:dyDescent="0.3"/>
    <row r="1565" ht="25.5" customHeight="1" x14ac:dyDescent="0.3"/>
    <row r="1566" ht="25.5" customHeight="1" x14ac:dyDescent="0.3"/>
    <row r="1567" ht="25.5" customHeight="1" x14ac:dyDescent="0.3"/>
    <row r="1568" ht="25.5" customHeight="1" x14ac:dyDescent="0.3"/>
    <row r="1569" ht="25.5" customHeight="1" x14ac:dyDescent="0.3"/>
    <row r="1570" ht="25.5" customHeight="1" x14ac:dyDescent="0.3"/>
    <row r="1571" ht="25.5" customHeight="1" x14ac:dyDescent="0.3"/>
    <row r="1572" ht="25.5" customHeight="1" x14ac:dyDescent="0.3"/>
    <row r="1573" ht="25.5" customHeight="1" x14ac:dyDescent="0.3"/>
    <row r="1574" ht="25.5" customHeight="1" x14ac:dyDescent="0.3"/>
    <row r="1575" ht="25.5" customHeight="1" x14ac:dyDescent="0.3"/>
    <row r="1576" ht="25.5" customHeight="1" x14ac:dyDescent="0.3"/>
    <row r="1577" ht="25.5" customHeight="1" x14ac:dyDescent="0.3"/>
    <row r="1578" ht="25.5" customHeight="1" x14ac:dyDescent="0.3"/>
    <row r="1579" ht="25.5" customHeight="1" x14ac:dyDescent="0.3"/>
    <row r="1580" ht="25.5" customHeight="1" x14ac:dyDescent="0.3"/>
    <row r="1581" ht="25.5" customHeight="1" x14ac:dyDescent="0.3"/>
    <row r="1582" ht="25.5" customHeight="1" x14ac:dyDescent="0.3"/>
    <row r="1583" ht="25.5" customHeight="1" x14ac:dyDescent="0.3"/>
    <row r="1584" ht="25.5" customHeight="1" x14ac:dyDescent="0.3"/>
    <row r="1585" ht="25.5" customHeight="1" x14ac:dyDescent="0.3"/>
    <row r="1586" ht="25.5" customHeight="1" x14ac:dyDescent="0.3"/>
    <row r="1587" ht="25.5" customHeight="1" x14ac:dyDescent="0.3"/>
    <row r="1588" ht="25.5" customHeight="1" x14ac:dyDescent="0.3"/>
    <row r="1589" ht="25.5" customHeight="1" x14ac:dyDescent="0.3"/>
    <row r="1590" ht="25.5" customHeight="1" x14ac:dyDescent="0.3"/>
    <row r="1591" ht="25.5" customHeight="1" x14ac:dyDescent="0.3"/>
    <row r="1592" ht="25.5" customHeight="1" x14ac:dyDescent="0.3"/>
    <row r="1593" ht="25.5" customHeight="1" x14ac:dyDescent="0.3"/>
    <row r="1594" ht="25.5" customHeight="1" x14ac:dyDescent="0.3"/>
    <row r="1595" ht="25.5" customHeight="1" x14ac:dyDescent="0.3"/>
    <row r="1596" ht="25.5" customHeight="1" x14ac:dyDescent="0.3"/>
    <row r="1597" ht="25.5" customHeight="1" x14ac:dyDescent="0.3"/>
    <row r="1598" ht="25.5" customHeight="1" x14ac:dyDescent="0.3"/>
    <row r="1599" ht="25.5" customHeight="1" x14ac:dyDescent="0.3"/>
    <row r="1600" ht="25.5" customHeight="1" x14ac:dyDescent="0.3"/>
    <row r="1601" ht="25.5" customHeight="1" x14ac:dyDescent="0.3"/>
    <row r="1602" ht="25.5" customHeight="1" x14ac:dyDescent="0.3"/>
    <row r="1603" ht="25.5" customHeight="1" x14ac:dyDescent="0.3"/>
    <row r="1604" ht="25.5" customHeight="1" x14ac:dyDescent="0.3"/>
    <row r="1605" ht="25.5" customHeight="1" x14ac:dyDescent="0.3"/>
    <row r="1606" ht="25.5" customHeight="1" x14ac:dyDescent="0.3"/>
    <row r="1607" ht="25.5" customHeight="1" x14ac:dyDescent="0.3"/>
    <row r="1608" ht="25.5" customHeight="1" x14ac:dyDescent="0.3"/>
    <row r="1609" ht="25.5" customHeight="1" x14ac:dyDescent="0.3"/>
    <row r="1610" ht="25.5" customHeight="1" x14ac:dyDescent="0.3"/>
    <row r="1611" ht="25.5" customHeight="1" x14ac:dyDescent="0.3"/>
    <row r="1612" ht="25.5" customHeight="1" x14ac:dyDescent="0.3"/>
    <row r="1613" ht="25.5" customHeight="1" x14ac:dyDescent="0.3"/>
    <row r="1614" ht="25.5" customHeight="1" x14ac:dyDescent="0.3"/>
    <row r="1615" ht="25.5" customHeight="1" x14ac:dyDescent="0.3"/>
    <row r="1616" ht="25.5" customHeight="1" x14ac:dyDescent="0.3"/>
    <row r="1617" ht="25.5" customHeight="1" x14ac:dyDescent="0.3"/>
    <row r="1618" ht="25.5" customHeight="1" x14ac:dyDescent="0.3"/>
    <row r="1619" ht="25.5" customHeight="1" x14ac:dyDescent="0.3"/>
    <row r="1620" ht="25.5" customHeight="1" x14ac:dyDescent="0.3"/>
    <row r="1621" ht="25.5" customHeight="1" x14ac:dyDescent="0.3"/>
    <row r="1622" ht="25.5" customHeight="1" x14ac:dyDescent="0.3"/>
    <row r="1623" ht="25.5" customHeight="1" x14ac:dyDescent="0.3"/>
    <row r="1624" ht="25.5" customHeight="1" x14ac:dyDescent="0.3"/>
    <row r="1625" ht="25.5" customHeight="1" x14ac:dyDescent="0.3"/>
    <row r="1626" ht="25.5" customHeight="1" x14ac:dyDescent="0.3"/>
    <row r="1627" ht="25.5" customHeight="1" x14ac:dyDescent="0.3"/>
    <row r="1628" ht="25.5" customHeight="1" x14ac:dyDescent="0.3"/>
    <row r="1629" ht="25.5" customHeight="1" x14ac:dyDescent="0.3"/>
    <row r="1630" ht="25.5" customHeight="1" x14ac:dyDescent="0.3"/>
    <row r="1631" ht="25.5" customHeight="1" x14ac:dyDescent="0.3"/>
    <row r="1632" ht="25.5" customHeight="1" x14ac:dyDescent="0.3"/>
    <row r="1633" ht="25.5" customHeight="1" x14ac:dyDescent="0.3"/>
    <row r="1634" ht="25.5" customHeight="1" x14ac:dyDescent="0.3"/>
    <row r="1635" ht="25.5" customHeight="1" x14ac:dyDescent="0.3"/>
    <row r="1636" ht="25.5" customHeight="1" x14ac:dyDescent="0.3"/>
    <row r="1637" ht="25.5" customHeight="1" x14ac:dyDescent="0.3"/>
    <row r="1638" ht="25.5" customHeight="1" x14ac:dyDescent="0.3"/>
    <row r="1639" ht="25.5" customHeight="1" x14ac:dyDescent="0.3"/>
    <row r="1640" ht="25.5" customHeight="1" x14ac:dyDescent="0.3"/>
    <row r="1641" ht="25.5" customHeight="1" x14ac:dyDescent="0.3"/>
    <row r="1642" ht="25.5" customHeight="1" x14ac:dyDescent="0.3"/>
    <row r="1643" ht="25.5" customHeight="1" x14ac:dyDescent="0.3"/>
    <row r="1644" ht="25.5" customHeight="1" x14ac:dyDescent="0.3"/>
    <row r="1645" ht="25.5" customHeight="1" x14ac:dyDescent="0.3"/>
    <row r="1646" ht="25.5" customHeight="1" x14ac:dyDescent="0.3"/>
    <row r="1647" ht="25.5" customHeight="1" x14ac:dyDescent="0.3"/>
    <row r="1648" ht="25.5" customHeight="1" x14ac:dyDescent="0.3"/>
    <row r="1649" ht="25.5" customHeight="1" x14ac:dyDescent="0.3"/>
    <row r="1650" ht="25.5" customHeight="1" x14ac:dyDescent="0.3"/>
    <row r="1651" ht="25.5" customHeight="1" x14ac:dyDescent="0.3"/>
    <row r="1652" ht="25.5" customHeight="1" x14ac:dyDescent="0.3"/>
    <row r="1653" ht="25.5" customHeight="1" x14ac:dyDescent="0.3"/>
    <row r="1654" ht="25.5" customHeight="1" x14ac:dyDescent="0.3"/>
    <row r="1655" ht="25.5" customHeight="1" x14ac:dyDescent="0.3"/>
    <row r="1656" ht="25.5" customHeight="1" x14ac:dyDescent="0.3"/>
    <row r="1657" ht="25.5" customHeight="1" x14ac:dyDescent="0.3"/>
    <row r="1658" ht="25.5" customHeight="1" x14ac:dyDescent="0.3"/>
    <row r="1659" ht="25.5" customHeight="1" x14ac:dyDescent="0.3"/>
    <row r="1660" ht="25.5" customHeight="1" x14ac:dyDescent="0.3"/>
    <row r="1661" ht="25.5" customHeight="1" x14ac:dyDescent="0.3"/>
    <row r="1662" ht="25.5" customHeight="1" x14ac:dyDescent="0.3"/>
    <row r="1663" ht="25.5" customHeight="1" x14ac:dyDescent="0.3"/>
    <row r="1664" ht="25.5" customHeight="1" x14ac:dyDescent="0.3"/>
    <row r="1665" ht="25.5" customHeight="1" x14ac:dyDescent="0.3"/>
    <row r="1666" ht="25.5" customHeight="1" x14ac:dyDescent="0.3"/>
    <row r="1667" ht="25.5" customHeight="1" x14ac:dyDescent="0.3"/>
    <row r="1668" ht="25.5" customHeight="1" x14ac:dyDescent="0.3"/>
    <row r="1669" ht="25.5" customHeight="1" x14ac:dyDescent="0.3"/>
    <row r="1670" ht="25.5" customHeight="1" x14ac:dyDescent="0.3"/>
    <row r="1671" ht="25.5" customHeight="1" x14ac:dyDescent="0.3"/>
    <row r="1672" ht="25.5" customHeight="1" x14ac:dyDescent="0.3"/>
    <row r="1673" ht="25.5" customHeight="1" x14ac:dyDescent="0.3"/>
    <row r="1674" ht="25.5" customHeight="1" x14ac:dyDescent="0.3"/>
    <row r="1675" ht="25.5" customHeight="1" x14ac:dyDescent="0.3"/>
    <row r="1676" ht="25.5" customHeight="1" x14ac:dyDescent="0.3"/>
    <row r="1677" ht="25.5" customHeight="1" x14ac:dyDescent="0.3"/>
    <row r="1678" ht="25.5" customHeight="1" x14ac:dyDescent="0.3"/>
    <row r="1679" ht="25.5" customHeight="1" x14ac:dyDescent="0.3"/>
    <row r="1680" ht="25.5" customHeight="1" x14ac:dyDescent="0.3"/>
    <row r="1681" ht="25.5" customHeight="1" x14ac:dyDescent="0.3"/>
    <row r="1682" ht="25.5" customHeight="1" x14ac:dyDescent="0.3"/>
    <row r="1683" ht="25.5" customHeight="1" x14ac:dyDescent="0.3"/>
    <row r="1684" ht="25.5" customHeight="1" x14ac:dyDescent="0.3"/>
    <row r="1685" ht="25.5" customHeight="1" x14ac:dyDescent="0.3"/>
    <row r="1686" ht="25.5" customHeight="1" x14ac:dyDescent="0.3"/>
    <row r="1687" ht="25.5" customHeight="1" x14ac:dyDescent="0.3"/>
    <row r="1688" ht="25.5" customHeight="1" x14ac:dyDescent="0.3"/>
    <row r="1689" ht="25.5" customHeight="1" x14ac:dyDescent="0.3"/>
    <row r="1690" ht="25.5" customHeight="1" x14ac:dyDescent="0.3"/>
    <row r="1691" ht="25.5" customHeight="1" x14ac:dyDescent="0.3"/>
    <row r="1692" ht="25.5" customHeight="1" x14ac:dyDescent="0.3"/>
    <row r="1693" ht="25.5" customHeight="1" x14ac:dyDescent="0.3"/>
    <row r="1694" ht="25.5" customHeight="1" x14ac:dyDescent="0.3"/>
    <row r="1695" ht="25.5" customHeight="1" x14ac:dyDescent="0.3"/>
    <row r="1696" ht="25.5" customHeight="1" x14ac:dyDescent="0.3"/>
    <row r="1697" ht="25.5" customHeight="1" x14ac:dyDescent="0.3"/>
    <row r="1698" ht="25.5" customHeight="1" x14ac:dyDescent="0.3"/>
    <row r="1699" ht="25.5" customHeight="1" x14ac:dyDescent="0.3"/>
    <row r="1700" ht="25.5" customHeight="1" x14ac:dyDescent="0.3"/>
    <row r="1701" ht="25.5" customHeight="1" x14ac:dyDescent="0.3"/>
    <row r="1702" ht="25.5" customHeight="1" x14ac:dyDescent="0.3"/>
    <row r="1703" ht="25.5" customHeight="1" x14ac:dyDescent="0.3"/>
    <row r="1704" ht="25.5" customHeight="1" x14ac:dyDescent="0.3"/>
    <row r="1705" ht="25.5" customHeight="1" x14ac:dyDescent="0.3"/>
    <row r="1706" ht="25.5" customHeight="1" x14ac:dyDescent="0.3"/>
    <row r="1707" ht="25.5" customHeight="1" x14ac:dyDescent="0.3"/>
    <row r="1708" ht="25.5" customHeight="1" x14ac:dyDescent="0.3"/>
    <row r="1709" ht="25.5" customHeight="1" x14ac:dyDescent="0.3"/>
    <row r="1710" ht="25.5" customHeight="1" x14ac:dyDescent="0.3"/>
    <row r="1711" ht="25.5" customHeight="1" x14ac:dyDescent="0.3"/>
    <row r="1712" ht="25.5" customHeight="1" x14ac:dyDescent="0.3"/>
    <row r="1713" ht="25.5" customHeight="1" x14ac:dyDescent="0.3"/>
    <row r="1714" ht="25.5" customHeight="1" x14ac:dyDescent="0.3"/>
    <row r="1715" ht="25.5" customHeight="1" x14ac:dyDescent="0.3"/>
    <row r="1716" ht="25.5" customHeight="1" x14ac:dyDescent="0.3"/>
    <row r="1717" ht="25.5" customHeight="1" x14ac:dyDescent="0.3"/>
    <row r="1718" ht="25.5" customHeight="1" x14ac:dyDescent="0.3"/>
    <row r="1719" ht="25.5" customHeight="1" x14ac:dyDescent="0.3"/>
    <row r="1720" ht="25.5" customHeight="1" x14ac:dyDescent="0.3"/>
    <row r="1721" ht="25.5" customHeight="1" x14ac:dyDescent="0.3"/>
    <row r="1722" ht="25.5" customHeight="1" x14ac:dyDescent="0.3"/>
    <row r="1723" ht="25.5" customHeight="1" x14ac:dyDescent="0.3"/>
    <row r="1724" ht="25.5" customHeight="1" x14ac:dyDescent="0.3"/>
    <row r="1725" ht="25.5" customHeight="1" x14ac:dyDescent="0.3"/>
    <row r="1726" ht="25.5" customHeight="1" x14ac:dyDescent="0.3"/>
    <row r="1727" ht="25.5" customHeight="1" x14ac:dyDescent="0.3"/>
    <row r="1728" ht="25.5" customHeight="1" x14ac:dyDescent="0.3"/>
    <row r="1729" ht="25.5" customHeight="1" x14ac:dyDescent="0.3"/>
    <row r="1730" ht="25.5" customHeight="1" x14ac:dyDescent="0.3"/>
    <row r="1731" ht="25.5" customHeight="1" x14ac:dyDescent="0.3"/>
    <row r="1732" ht="25.5" customHeight="1" x14ac:dyDescent="0.3"/>
    <row r="1733" ht="25.5" customHeight="1" x14ac:dyDescent="0.3"/>
    <row r="1734" ht="25.5" customHeight="1" x14ac:dyDescent="0.3"/>
    <row r="1735" ht="25.5" customHeight="1" x14ac:dyDescent="0.3"/>
    <row r="1736" ht="25.5" customHeight="1" x14ac:dyDescent="0.3"/>
    <row r="1737" ht="25.5" customHeight="1" x14ac:dyDescent="0.3"/>
    <row r="1738" ht="25.5" customHeight="1" x14ac:dyDescent="0.3"/>
    <row r="1739" ht="25.5" customHeight="1" x14ac:dyDescent="0.3"/>
    <row r="1740" ht="25.5" customHeight="1" x14ac:dyDescent="0.3"/>
    <row r="1741" ht="25.5" customHeight="1" x14ac:dyDescent="0.3"/>
    <row r="1742" ht="25.5" customHeight="1" x14ac:dyDescent="0.3"/>
    <row r="1743" ht="25.5" customHeight="1" x14ac:dyDescent="0.3"/>
    <row r="1744" ht="25.5" customHeight="1" x14ac:dyDescent="0.3"/>
    <row r="1745" ht="25.5" customHeight="1" x14ac:dyDescent="0.3"/>
    <row r="1746" ht="25.5" customHeight="1" x14ac:dyDescent="0.3"/>
    <row r="1747" ht="25.5" customHeight="1" x14ac:dyDescent="0.3"/>
    <row r="1748" ht="25.5" customHeight="1" x14ac:dyDescent="0.3"/>
    <row r="1749" ht="25.5" customHeight="1" x14ac:dyDescent="0.3"/>
    <row r="1750" ht="25.5" customHeight="1" x14ac:dyDescent="0.3"/>
    <row r="1751" ht="25.5" customHeight="1" x14ac:dyDescent="0.3"/>
    <row r="1752" ht="25.5" customHeight="1" x14ac:dyDescent="0.3"/>
    <row r="1753" ht="25.5" customHeight="1" x14ac:dyDescent="0.3"/>
    <row r="1754" ht="25.5" customHeight="1" x14ac:dyDescent="0.3"/>
    <row r="1755" ht="25.5" customHeight="1" x14ac:dyDescent="0.3"/>
    <row r="1756" ht="25.5" customHeight="1" x14ac:dyDescent="0.3"/>
    <row r="1757" ht="25.5" customHeight="1" x14ac:dyDescent="0.3"/>
    <row r="1758" ht="25.5" customHeight="1" x14ac:dyDescent="0.3"/>
    <row r="1759" ht="25.5" customHeight="1" x14ac:dyDescent="0.3"/>
    <row r="1760" ht="25.5" customHeight="1" x14ac:dyDescent="0.3"/>
    <row r="1761" ht="25.5" customHeight="1" x14ac:dyDescent="0.3"/>
    <row r="1762" ht="25.5" customHeight="1" x14ac:dyDescent="0.3"/>
    <row r="1763" ht="25.5" customHeight="1" x14ac:dyDescent="0.3"/>
    <row r="1764" ht="25.5" customHeight="1" x14ac:dyDescent="0.3"/>
    <row r="1765" ht="25.5" customHeight="1" x14ac:dyDescent="0.3"/>
    <row r="1766" ht="25.5" customHeight="1" x14ac:dyDescent="0.3"/>
    <row r="1767" ht="25.5" customHeight="1" x14ac:dyDescent="0.3"/>
    <row r="1768" ht="25.5" customHeight="1" x14ac:dyDescent="0.3"/>
    <row r="1769" ht="25.5" customHeight="1" x14ac:dyDescent="0.3"/>
    <row r="1770" ht="25.5" customHeight="1" x14ac:dyDescent="0.3"/>
    <row r="1771" ht="25.5" customHeight="1" x14ac:dyDescent="0.3"/>
    <row r="1772" ht="25.5" customHeight="1" x14ac:dyDescent="0.3"/>
    <row r="1773" ht="25.5" customHeight="1" x14ac:dyDescent="0.3"/>
    <row r="1774" ht="25.5" customHeight="1" x14ac:dyDescent="0.3"/>
    <row r="1775" ht="25.5" customHeight="1" x14ac:dyDescent="0.3"/>
    <row r="1776" ht="25.5" customHeight="1" x14ac:dyDescent="0.3"/>
    <row r="1777" ht="25.5" customHeight="1" x14ac:dyDescent="0.3"/>
    <row r="1778" ht="25.5" customHeight="1" x14ac:dyDescent="0.3"/>
    <row r="1779" ht="25.5" customHeight="1" x14ac:dyDescent="0.3"/>
    <row r="1780" ht="25.5" customHeight="1" x14ac:dyDescent="0.3"/>
    <row r="1781" ht="25.5" customHeight="1" x14ac:dyDescent="0.3"/>
    <row r="1782" ht="25.5" customHeight="1" x14ac:dyDescent="0.3"/>
    <row r="1783" ht="25.5" customHeight="1" x14ac:dyDescent="0.3"/>
    <row r="1784" ht="25.5" customHeight="1" x14ac:dyDescent="0.3"/>
    <row r="1785" ht="25.5" customHeight="1" x14ac:dyDescent="0.3"/>
    <row r="1786" ht="25.5" customHeight="1" x14ac:dyDescent="0.3"/>
    <row r="1787" ht="25.5" customHeight="1" x14ac:dyDescent="0.3"/>
    <row r="1788" ht="25.5" customHeight="1" x14ac:dyDescent="0.3"/>
    <row r="1789" ht="25.5" customHeight="1" x14ac:dyDescent="0.3"/>
    <row r="1790" ht="25.5" customHeight="1" x14ac:dyDescent="0.3"/>
    <row r="1791" ht="25.5" customHeight="1" x14ac:dyDescent="0.3"/>
    <row r="1792" ht="25.5" customHeight="1" x14ac:dyDescent="0.3"/>
    <row r="1793" ht="25.5" customHeight="1" x14ac:dyDescent="0.3"/>
    <row r="1794" ht="25.5" customHeight="1" x14ac:dyDescent="0.3"/>
    <row r="1795" ht="25.5" customHeight="1" x14ac:dyDescent="0.3"/>
    <row r="1796" ht="25.5" customHeight="1" x14ac:dyDescent="0.3"/>
    <row r="1797" ht="25.5" customHeight="1" x14ac:dyDescent="0.3"/>
    <row r="1798" ht="25.5" customHeight="1" x14ac:dyDescent="0.3"/>
    <row r="1799" ht="25.5" customHeight="1" x14ac:dyDescent="0.3"/>
    <row r="1800" ht="25.5" customHeight="1" x14ac:dyDescent="0.3"/>
    <row r="1801" ht="25.5" customHeight="1" x14ac:dyDescent="0.3"/>
    <row r="1802" ht="25.5" customHeight="1" x14ac:dyDescent="0.3"/>
    <row r="1803" ht="25.5" customHeight="1" x14ac:dyDescent="0.3"/>
    <row r="1804" ht="25.5" customHeight="1" x14ac:dyDescent="0.3"/>
    <row r="1805" ht="25.5" customHeight="1" x14ac:dyDescent="0.3"/>
    <row r="1806" ht="25.5" customHeight="1" x14ac:dyDescent="0.3"/>
    <row r="1807" ht="25.5" customHeight="1" x14ac:dyDescent="0.3"/>
    <row r="1808" ht="25.5" customHeight="1" x14ac:dyDescent="0.3"/>
    <row r="1809" ht="25.5" customHeight="1" x14ac:dyDescent="0.3"/>
    <row r="1810" ht="25.5" customHeight="1" x14ac:dyDescent="0.3"/>
    <row r="1811" ht="25.5" customHeight="1" x14ac:dyDescent="0.3"/>
    <row r="1812" ht="25.5" customHeight="1" x14ac:dyDescent="0.3"/>
    <row r="1813" ht="25.5" customHeight="1" x14ac:dyDescent="0.3"/>
    <row r="1814" ht="25.5" customHeight="1" x14ac:dyDescent="0.3"/>
    <row r="1815" ht="25.5" customHeight="1" x14ac:dyDescent="0.3"/>
    <row r="1816" ht="25.5" customHeight="1" x14ac:dyDescent="0.3"/>
    <row r="1817" ht="25.5" customHeight="1" x14ac:dyDescent="0.3"/>
    <row r="1818" ht="25.5" customHeight="1" x14ac:dyDescent="0.3"/>
    <row r="1819" ht="25.5" customHeight="1" x14ac:dyDescent="0.3"/>
    <row r="1820" ht="25.5" customHeight="1" x14ac:dyDescent="0.3"/>
    <row r="1821" ht="25.5" customHeight="1" x14ac:dyDescent="0.3"/>
    <row r="1822" ht="25.5" customHeight="1" x14ac:dyDescent="0.3"/>
    <row r="1823" ht="25.5" customHeight="1" x14ac:dyDescent="0.3"/>
    <row r="1824" ht="25.5" customHeight="1" x14ac:dyDescent="0.3"/>
    <row r="1825" ht="25.5" customHeight="1" x14ac:dyDescent="0.3"/>
    <row r="1826" ht="25.5" customHeight="1" x14ac:dyDescent="0.3"/>
    <row r="1827" ht="25.5" customHeight="1" x14ac:dyDescent="0.3"/>
    <row r="1828" ht="25.5" customHeight="1" x14ac:dyDescent="0.3"/>
    <row r="1829" ht="25.5" customHeight="1" x14ac:dyDescent="0.3"/>
    <row r="1830" ht="25.5" customHeight="1" x14ac:dyDescent="0.3"/>
    <row r="1831" ht="25.5" customHeight="1" x14ac:dyDescent="0.3"/>
    <row r="1832" ht="25.5" customHeight="1" x14ac:dyDescent="0.3"/>
    <row r="1833" ht="25.5" customHeight="1" x14ac:dyDescent="0.3"/>
    <row r="1834" ht="25.5" customHeight="1" x14ac:dyDescent="0.3"/>
    <row r="1835" ht="25.5" customHeight="1" x14ac:dyDescent="0.3"/>
    <row r="1836" ht="25.5" customHeight="1" x14ac:dyDescent="0.3"/>
    <row r="1837" ht="25.5" customHeight="1" x14ac:dyDescent="0.3"/>
    <row r="1838" ht="25.5" customHeight="1" x14ac:dyDescent="0.3"/>
    <row r="1839" ht="25.5" customHeight="1" x14ac:dyDescent="0.3"/>
    <row r="1840" ht="25.5" customHeight="1" x14ac:dyDescent="0.3"/>
    <row r="1841" ht="25.5" customHeight="1" x14ac:dyDescent="0.3"/>
    <row r="1842" ht="25.5" customHeight="1" x14ac:dyDescent="0.3"/>
    <row r="1843" ht="25.5" customHeight="1" x14ac:dyDescent="0.3"/>
    <row r="1844" ht="25.5" customHeight="1" x14ac:dyDescent="0.3"/>
    <row r="1845" ht="25.5" customHeight="1" x14ac:dyDescent="0.3"/>
    <row r="1846" ht="25.5" customHeight="1" x14ac:dyDescent="0.3"/>
    <row r="1847" ht="25.5" customHeight="1" x14ac:dyDescent="0.3"/>
    <row r="1848" ht="25.5" customHeight="1" x14ac:dyDescent="0.3"/>
    <row r="1849" ht="25.5" customHeight="1" x14ac:dyDescent="0.3"/>
    <row r="1850" ht="25.5" customHeight="1" x14ac:dyDescent="0.3"/>
    <row r="1851" ht="25.5" customHeight="1" x14ac:dyDescent="0.3"/>
    <row r="1852" ht="25.5" customHeight="1" x14ac:dyDescent="0.3"/>
    <row r="1853" ht="25.5" customHeight="1" x14ac:dyDescent="0.3"/>
    <row r="1854" ht="25.5" customHeight="1" x14ac:dyDescent="0.3"/>
    <row r="1855" ht="25.5" customHeight="1" x14ac:dyDescent="0.3"/>
    <row r="1856" ht="25.5" customHeight="1" x14ac:dyDescent="0.3"/>
    <row r="1857" ht="25.5" customHeight="1" x14ac:dyDescent="0.3"/>
    <row r="1858" ht="25.5" customHeight="1" x14ac:dyDescent="0.3"/>
    <row r="1859" ht="25.5" customHeight="1" x14ac:dyDescent="0.3"/>
    <row r="1860" ht="25.5" customHeight="1" x14ac:dyDescent="0.3"/>
    <row r="1861" ht="25.5" customHeight="1" x14ac:dyDescent="0.3"/>
    <row r="1862" ht="25.5" customHeight="1" x14ac:dyDescent="0.3"/>
    <row r="1863" ht="25.5" customHeight="1" x14ac:dyDescent="0.3"/>
    <row r="1864" ht="25.5" customHeight="1" x14ac:dyDescent="0.3"/>
    <row r="1865" ht="25.5" customHeight="1" x14ac:dyDescent="0.3"/>
    <row r="1866" ht="25.5" customHeight="1" x14ac:dyDescent="0.3"/>
    <row r="1867" ht="25.5" customHeight="1" x14ac:dyDescent="0.3"/>
    <row r="1868" ht="25.5" customHeight="1" x14ac:dyDescent="0.3"/>
    <row r="1869" ht="25.5" customHeight="1" x14ac:dyDescent="0.3"/>
    <row r="1870" ht="25.5" customHeight="1" x14ac:dyDescent="0.3"/>
    <row r="1871" ht="25.5" customHeight="1" x14ac:dyDescent="0.3"/>
    <row r="1872" ht="25.5" customHeight="1" x14ac:dyDescent="0.3"/>
    <row r="1873" ht="25.5" customHeight="1" x14ac:dyDescent="0.3"/>
    <row r="1874" ht="25.5" customHeight="1" x14ac:dyDescent="0.3"/>
    <row r="1875" ht="25.5" customHeight="1" x14ac:dyDescent="0.3"/>
    <row r="1876" ht="25.5" customHeight="1" x14ac:dyDescent="0.3"/>
    <row r="1877" ht="25.5" customHeight="1" x14ac:dyDescent="0.3"/>
    <row r="1878" ht="25.5" customHeight="1" x14ac:dyDescent="0.3"/>
    <row r="1879" ht="25.5" customHeight="1" x14ac:dyDescent="0.3"/>
    <row r="1880" ht="25.5" customHeight="1" x14ac:dyDescent="0.3"/>
    <row r="1881" ht="25.5" customHeight="1" x14ac:dyDescent="0.3"/>
    <row r="1882" ht="25.5" customHeight="1" x14ac:dyDescent="0.3"/>
    <row r="1883" ht="25.5" customHeight="1" x14ac:dyDescent="0.3"/>
    <row r="1884" ht="25.5" customHeight="1" x14ac:dyDescent="0.3"/>
    <row r="1885" ht="25.5" customHeight="1" x14ac:dyDescent="0.3"/>
    <row r="1886" ht="25.5" customHeight="1" x14ac:dyDescent="0.3"/>
    <row r="1887" ht="25.5" customHeight="1" x14ac:dyDescent="0.3"/>
    <row r="1888" ht="25.5" customHeight="1" x14ac:dyDescent="0.3"/>
    <row r="1889" ht="25.5" customHeight="1" x14ac:dyDescent="0.3"/>
    <row r="1890" ht="25.5" customHeight="1" x14ac:dyDescent="0.3"/>
    <row r="1891" ht="25.5" customHeight="1" x14ac:dyDescent="0.3"/>
    <row r="1892" ht="25.5" customHeight="1" x14ac:dyDescent="0.3"/>
    <row r="1893" ht="25.5" customHeight="1" x14ac:dyDescent="0.3"/>
    <row r="1894" ht="25.5" customHeight="1" x14ac:dyDescent="0.3"/>
    <row r="1895" ht="25.5" customHeight="1" x14ac:dyDescent="0.3"/>
    <row r="1896" ht="25.5" customHeight="1" x14ac:dyDescent="0.3"/>
    <row r="1897" ht="25.5" customHeight="1" x14ac:dyDescent="0.3"/>
    <row r="1898" ht="25.5" customHeight="1" x14ac:dyDescent="0.3"/>
    <row r="1899" ht="25.5" customHeight="1" x14ac:dyDescent="0.3"/>
    <row r="1900" ht="25.5" customHeight="1" x14ac:dyDescent="0.3"/>
    <row r="1901" ht="25.5" customHeight="1" x14ac:dyDescent="0.3"/>
    <row r="1902" ht="25.5" customHeight="1" x14ac:dyDescent="0.3"/>
    <row r="1903" ht="25.5" customHeight="1" x14ac:dyDescent="0.3"/>
    <row r="1904" ht="25.5" customHeight="1" x14ac:dyDescent="0.3"/>
    <row r="1905" ht="25.5" customHeight="1" x14ac:dyDescent="0.3"/>
    <row r="1906" ht="25.5" customHeight="1" x14ac:dyDescent="0.3"/>
    <row r="1907" ht="25.5" customHeight="1" x14ac:dyDescent="0.3"/>
    <row r="1908" ht="25.5" customHeight="1" x14ac:dyDescent="0.3"/>
    <row r="1909" ht="25.5" customHeight="1" x14ac:dyDescent="0.3"/>
    <row r="1910" ht="25.5" customHeight="1" x14ac:dyDescent="0.3"/>
    <row r="1911" ht="25.5" customHeight="1" x14ac:dyDescent="0.3"/>
    <row r="1912" ht="25.5" customHeight="1" x14ac:dyDescent="0.3"/>
    <row r="1913" ht="25.5" customHeight="1" x14ac:dyDescent="0.3"/>
    <row r="1914" ht="25.5" customHeight="1" x14ac:dyDescent="0.3"/>
    <row r="1915" ht="25.5" customHeight="1" x14ac:dyDescent="0.3"/>
    <row r="1916" ht="25.5" customHeight="1" x14ac:dyDescent="0.3"/>
    <row r="1917" ht="25.5" customHeight="1" x14ac:dyDescent="0.3"/>
    <row r="1918" ht="25.5" customHeight="1" x14ac:dyDescent="0.3"/>
    <row r="1919" ht="25.5" customHeight="1" x14ac:dyDescent="0.3"/>
    <row r="1920" ht="25.5" customHeight="1" x14ac:dyDescent="0.3"/>
    <row r="1921" ht="25.5" customHeight="1" x14ac:dyDescent="0.3"/>
    <row r="1922" ht="25.5" customHeight="1" x14ac:dyDescent="0.3"/>
    <row r="1923" ht="25.5" customHeight="1" x14ac:dyDescent="0.3"/>
    <row r="1924" ht="25.5" customHeight="1" x14ac:dyDescent="0.3"/>
    <row r="1925" ht="25.5" customHeight="1" x14ac:dyDescent="0.3"/>
    <row r="1926" ht="25.5" customHeight="1" x14ac:dyDescent="0.3"/>
    <row r="1927" ht="25.5" customHeight="1" x14ac:dyDescent="0.3"/>
    <row r="1928" ht="25.5" customHeight="1" x14ac:dyDescent="0.3"/>
    <row r="1929" ht="25.5" customHeight="1" x14ac:dyDescent="0.3"/>
    <row r="1930" ht="25.5" customHeight="1" x14ac:dyDescent="0.3"/>
    <row r="1931" ht="25.5" customHeight="1" x14ac:dyDescent="0.3"/>
    <row r="1932" ht="25.5" customHeight="1" x14ac:dyDescent="0.3"/>
    <row r="1933" ht="25.5" customHeight="1" x14ac:dyDescent="0.3"/>
    <row r="1934" ht="25.5" customHeight="1" x14ac:dyDescent="0.3"/>
    <row r="1935" ht="25.5" customHeight="1" x14ac:dyDescent="0.3"/>
    <row r="1936" ht="25.5" customHeight="1" x14ac:dyDescent="0.3"/>
    <row r="1937" ht="25.5" customHeight="1" x14ac:dyDescent="0.3"/>
    <row r="1938" ht="25.5" customHeight="1" x14ac:dyDescent="0.3"/>
    <row r="1939" ht="25.5" customHeight="1" x14ac:dyDescent="0.3"/>
    <row r="1940" ht="25.5" customHeight="1" x14ac:dyDescent="0.3"/>
    <row r="1941" ht="25.5" customHeight="1" x14ac:dyDescent="0.3"/>
    <row r="1942" ht="25.5" customHeight="1" x14ac:dyDescent="0.3"/>
    <row r="1943" ht="25.5" customHeight="1" x14ac:dyDescent="0.3"/>
    <row r="1944" ht="25.5" customHeight="1" x14ac:dyDescent="0.3"/>
    <row r="1945" ht="25.5" customHeight="1" x14ac:dyDescent="0.3"/>
    <row r="1946" ht="25.5" customHeight="1" x14ac:dyDescent="0.3"/>
    <row r="1947" ht="25.5" customHeight="1" x14ac:dyDescent="0.3"/>
    <row r="1948" ht="25.5" customHeight="1" x14ac:dyDescent="0.3"/>
    <row r="1949" ht="25.5" customHeight="1" x14ac:dyDescent="0.3"/>
    <row r="1950" ht="25.5" customHeight="1" x14ac:dyDescent="0.3"/>
    <row r="1951" ht="25.5" customHeight="1" x14ac:dyDescent="0.3"/>
    <row r="1952" ht="25.5" customHeight="1" x14ac:dyDescent="0.3"/>
    <row r="1953" ht="25.5" customHeight="1" x14ac:dyDescent="0.3"/>
    <row r="1954" ht="25.5" customHeight="1" x14ac:dyDescent="0.3"/>
    <row r="1955" ht="25.5" customHeight="1" x14ac:dyDescent="0.3"/>
    <row r="1956" ht="25.5" customHeight="1" x14ac:dyDescent="0.3"/>
    <row r="1957" ht="25.5" customHeight="1" x14ac:dyDescent="0.3"/>
    <row r="1958" ht="25.5" customHeight="1" x14ac:dyDescent="0.3"/>
    <row r="1959" ht="25.5" customHeight="1" x14ac:dyDescent="0.3"/>
    <row r="1960" ht="25.5" customHeight="1" x14ac:dyDescent="0.3"/>
    <row r="1961" ht="25.5" customHeight="1" x14ac:dyDescent="0.3"/>
    <row r="1962" ht="25.5" customHeight="1" x14ac:dyDescent="0.3"/>
    <row r="1963" ht="25.5" customHeight="1" x14ac:dyDescent="0.3"/>
    <row r="1964" ht="25.5" customHeight="1" x14ac:dyDescent="0.3"/>
    <row r="1965" ht="25.5" customHeight="1" x14ac:dyDescent="0.3"/>
    <row r="1966" ht="25.5" customHeight="1" x14ac:dyDescent="0.3"/>
    <row r="1967" ht="25.5" customHeight="1" x14ac:dyDescent="0.3"/>
    <row r="1968" ht="25.5" customHeight="1" x14ac:dyDescent="0.3"/>
    <row r="1969" ht="25.5" customHeight="1" x14ac:dyDescent="0.3"/>
    <row r="1970" ht="25.5" customHeight="1" x14ac:dyDescent="0.3"/>
    <row r="1971" ht="25.5" customHeight="1" x14ac:dyDescent="0.3"/>
    <row r="1972" ht="25.5" customHeight="1" x14ac:dyDescent="0.3"/>
    <row r="1973" ht="25.5" customHeight="1" x14ac:dyDescent="0.3"/>
    <row r="1974" ht="25.5" customHeight="1" x14ac:dyDescent="0.3"/>
    <row r="1975" ht="25.5" customHeight="1" x14ac:dyDescent="0.3"/>
    <row r="1976" ht="25.5" customHeight="1" x14ac:dyDescent="0.3"/>
    <row r="1977" ht="25.5" customHeight="1" x14ac:dyDescent="0.3"/>
    <row r="1978" ht="25.5" customHeight="1" x14ac:dyDescent="0.3"/>
    <row r="1979" ht="25.5" customHeight="1" x14ac:dyDescent="0.3"/>
    <row r="1980" ht="25.5" customHeight="1" x14ac:dyDescent="0.3"/>
    <row r="1981" ht="25.5" customHeight="1" x14ac:dyDescent="0.3"/>
    <row r="1982" ht="25.5" customHeight="1" x14ac:dyDescent="0.3"/>
    <row r="1983" ht="25.5" customHeight="1" x14ac:dyDescent="0.3"/>
    <row r="1984" ht="25.5" customHeight="1" x14ac:dyDescent="0.3"/>
    <row r="1985" ht="25.5" customHeight="1" x14ac:dyDescent="0.3"/>
    <row r="1986" ht="25.5" customHeight="1" x14ac:dyDescent="0.3"/>
    <row r="1987" ht="25.5" customHeight="1" x14ac:dyDescent="0.3"/>
    <row r="1988" ht="25.5" customHeight="1" x14ac:dyDescent="0.3"/>
    <row r="1989" ht="25.5" customHeight="1" x14ac:dyDescent="0.3"/>
    <row r="1990" ht="25.5" customHeight="1" x14ac:dyDescent="0.3"/>
    <row r="1991" ht="25.5" customHeight="1" x14ac:dyDescent="0.3"/>
    <row r="1992" ht="25.5" customHeight="1" x14ac:dyDescent="0.3"/>
    <row r="1993" ht="25.5" customHeight="1" x14ac:dyDescent="0.3"/>
    <row r="1994" ht="25.5" customHeight="1" x14ac:dyDescent="0.3"/>
    <row r="1995" ht="25.5" customHeight="1" x14ac:dyDescent="0.3"/>
    <row r="1996" ht="25.5" customHeight="1" x14ac:dyDescent="0.3"/>
    <row r="1997" ht="25.5" customHeight="1" x14ac:dyDescent="0.3"/>
    <row r="1998" ht="25.5" customHeight="1" x14ac:dyDescent="0.3"/>
    <row r="1999" ht="25.5" customHeight="1" x14ac:dyDescent="0.3"/>
    <row r="2000" ht="25.5" customHeight="1" x14ac:dyDescent="0.3"/>
    <row r="2001" ht="25.5" customHeight="1" x14ac:dyDescent="0.3"/>
    <row r="2002" ht="25.5" customHeight="1" x14ac:dyDescent="0.3"/>
    <row r="2003" ht="25.5" customHeight="1" x14ac:dyDescent="0.3"/>
    <row r="2004" ht="25.5" customHeight="1" x14ac:dyDescent="0.3"/>
    <row r="2005" ht="25.5" customHeight="1" x14ac:dyDescent="0.3"/>
    <row r="2006" ht="25.5" customHeight="1" x14ac:dyDescent="0.3"/>
    <row r="2007" ht="25.5" customHeight="1" x14ac:dyDescent="0.3"/>
    <row r="2008" ht="25.5" customHeight="1" x14ac:dyDescent="0.3"/>
    <row r="2009" ht="25.5" customHeight="1" x14ac:dyDescent="0.3"/>
    <row r="2010" ht="25.5" customHeight="1" x14ac:dyDescent="0.3"/>
    <row r="2011" ht="25.5" customHeight="1" x14ac:dyDescent="0.3"/>
    <row r="2012" ht="25.5" customHeight="1" x14ac:dyDescent="0.3"/>
    <row r="2013" ht="25.5" customHeight="1" x14ac:dyDescent="0.3"/>
    <row r="2014" ht="25.5" customHeight="1" x14ac:dyDescent="0.3"/>
    <row r="2015" ht="25.5" customHeight="1" x14ac:dyDescent="0.3"/>
    <row r="2016" ht="25.5" customHeight="1" x14ac:dyDescent="0.3"/>
    <row r="2017" ht="25.5" customHeight="1" x14ac:dyDescent="0.3"/>
    <row r="2018" ht="25.5" customHeight="1" x14ac:dyDescent="0.3"/>
    <row r="2019" ht="25.5" customHeight="1" x14ac:dyDescent="0.3"/>
    <row r="2020" ht="25.5" customHeight="1" x14ac:dyDescent="0.3"/>
    <row r="2021" ht="25.5" customHeight="1" x14ac:dyDescent="0.3"/>
    <row r="2022" ht="25.5" customHeight="1" x14ac:dyDescent="0.3"/>
    <row r="2023" ht="25.5" customHeight="1" x14ac:dyDescent="0.3"/>
    <row r="2024" ht="25.5" customHeight="1" x14ac:dyDescent="0.3"/>
    <row r="2025" ht="25.5" customHeight="1" x14ac:dyDescent="0.3"/>
    <row r="2026" ht="25.5" customHeight="1" x14ac:dyDescent="0.3"/>
    <row r="2027" ht="25.5" customHeight="1" x14ac:dyDescent="0.3"/>
    <row r="2028" ht="25.5" customHeight="1" x14ac:dyDescent="0.3"/>
    <row r="2029" ht="25.5" customHeight="1" x14ac:dyDescent="0.3"/>
    <row r="2030" ht="25.5" customHeight="1" x14ac:dyDescent="0.3"/>
    <row r="2031" ht="25.5" customHeight="1" x14ac:dyDescent="0.3"/>
    <row r="2032" ht="25.5" customHeight="1" x14ac:dyDescent="0.3"/>
    <row r="2033" ht="25.5" customHeight="1" x14ac:dyDescent="0.3"/>
    <row r="2034" ht="25.5" customHeight="1" x14ac:dyDescent="0.3"/>
    <row r="2035" ht="25.5" customHeight="1" x14ac:dyDescent="0.3"/>
    <row r="2036" ht="25.5" customHeight="1" x14ac:dyDescent="0.3"/>
    <row r="2037" ht="25.5" customHeight="1" x14ac:dyDescent="0.3"/>
    <row r="2038" ht="25.5" customHeight="1" x14ac:dyDescent="0.3"/>
    <row r="2039" ht="25.5" customHeight="1" x14ac:dyDescent="0.3"/>
    <row r="2040" ht="25.5" customHeight="1" x14ac:dyDescent="0.3"/>
    <row r="2041" ht="25.5" customHeight="1" x14ac:dyDescent="0.3"/>
    <row r="2042" ht="25.5" customHeight="1" x14ac:dyDescent="0.3"/>
    <row r="2043" ht="25.5" customHeight="1" x14ac:dyDescent="0.3"/>
    <row r="2044" ht="25.5" customHeight="1" x14ac:dyDescent="0.3"/>
    <row r="2045" ht="25.5" customHeight="1" x14ac:dyDescent="0.3"/>
    <row r="2046" ht="25.5" customHeight="1" x14ac:dyDescent="0.3"/>
    <row r="2047" ht="25.5" customHeight="1" x14ac:dyDescent="0.3"/>
    <row r="2048" ht="25.5" customHeight="1" x14ac:dyDescent="0.3"/>
    <row r="2049" ht="25.5" customHeight="1" x14ac:dyDescent="0.3"/>
    <row r="2050" ht="25.5" customHeight="1" x14ac:dyDescent="0.3"/>
    <row r="2051" ht="25.5" customHeight="1" x14ac:dyDescent="0.3"/>
    <row r="2052" ht="25.5" customHeight="1" x14ac:dyDescent="0.3"/>
    <row r="2053" ht="25.5" customHeight="1" x14ac:dyDescent="0.3"/>
    <row r="2054" ht="25.5" customHeight="1" x14ac:dyDescent="0.3"/>
    <row r="2055" ht="25.5" customHeight="1" x14ac:dyDescent="0.3"/>
    <row r="2056" ht="25.5" customHeight="1" x14ac:dyDescent="0.3"/>
    <row r="2057" ht="25.5" customHeight="1" x14ac:dyDescent="0.3"/>
    <row r="2058" ht="25.5" customHeight="1" x14ac:dyDescent="0.3"/>
    <row r="2059" ht="25.5" customHeight="1" x14ac:dyDescent="0.3"/>
    <row r="2060" ht="25.5" customHeight="1" x14ac:dyDescent="0.3"/>
    <row r="2061" ht="25.5" customHeight="1" x14ac:dyDescent="0.3"/>
    <row r="2062" ht="25.5" customHeight="1" x14ac:dyDescent="0.3"/>
    <row r="2063" ht="25.5" customHeight="1" x14ac:dyDescent="0.3"/>
    <row r="2064" ht="25.5" customHeight="1" x14ac:dyDescent="0.3"/>
    <row r="2065" ht="25.5" customHeight="1" x14ac:dyDescent="0.3"/>
    <row r="2066" ht="25.5" customHeight="1" x14ac:dyDescent="0.3"/>
    <row r="2067" ht="25.5" customHeight="1" x14ac:dyDescent="0.3"/>
    <row r="2068" ht="25.5" customHeight="1" x14ac:dyDescent="0.3"/>
    <row r="2069" ht="25.5" customHeight="1" x14ac:dyDescent="0.3"/>
    <row r="2070" ht="25.5" customHeight="1" x14ac:dyDescent="0.3"/>
    <row r="2071" ht="25.5" customHeight="1" x14ac:dyDescent="0.3"/>
    <row r="2072" ht="25.5" customHeight="1" x14ac:dyDescent="0.3"/>
    <row r="2073" ht="25.5" customHeight="1" x14ac:dyDescent="0.3"/>
    <row r="2074" ht="25.5" customHeight="1" x14ac:dyDescent="0.3"/>
    <row r="2075" ht="25.5" customHeight="1" x14ac:dyDescent="0.3"/>
    <row r="2076" ht="25.5" customHeight="1" x14ac:dyDescent="0.3"/>
    <row r="2077" ht="25.5" customHeight="1" x14ac:dyDescent="0.3"/>
    <row r="2078" ht="25.5" customHeight="1" x14ac:dyDescent="0.3"/>
    <row r="2079" ht="25.5" customHeight="1" x14ac:dyDescent="0.3"/>
    <row r="2080" ht="25.5" customHeight="1" x14ac:dyDescent="0.3"/>
    <row r="2081" ht="25.5" customHeight="1" x14ac:dyDescent="0.3"/>
    <row r="2082" ht="25.5" customHeight="1" x14ac:dyDescent="0.3"/>
    <row r="2083" ht="25.5" customHeight="1" x14ac:dyDescent="0.3"/>
    <row r="2084" ht="25.5" customHeight="1" x14ac:dyDescent="0.3"/>
    <row r="2085" ht="25.5" customHeight="1" x14ac:dyDescent="0.3"/>
    <row r="2086" ht="25.5" customHeight="1" x14ac:dyDescent="0.3"/>
    <row r="2087" ht="25.5" customHeight="1" x14ac:dyDescent="0.3"/>
    <row r="2088" ht="25.5" customHeight="1" x14ac:dyDescent="0.3"/>
    <row r="2089" ht="25.5" customHeight="1" x14ac:dyDescent="0.3"/>
    <row r="2090" ht="25.5" customHeight="1" x14ac:dyDescent="0.3"/>
    <row r="2091" ht="25.5" customHeight="1" x14ac:dyDescent="0.3"/>
    <row r="2092" ht="25.5" customHeight="1" x14ac:dyDescent="0.3"/>
    <row r="2093" ht="25.5" customHeight="1" x14ac:dyDescent="0.3"/>
    <row r="2094" ht="25.5" customHeight="1" x14ac:dyDescent="0.3"/>
    <row r="2095" ht="25.5" customHeight="1" x14ac:dyDescent="0.3"/>
    <row r="2096" ht="25.5" customHeight="1" x14ac:dyDescent="0.3"/>
    <row r="2097" ht="25.5" customHeight="1" x14ac:dyDescent="0.3"/>
    <row r="2098" ht="25.5" customHeight="1" x14ac:dyDescent="0.3"/>
    <row r="2099" ht="25.5" customHeight="1" x14ac:dyDescent="0.3"/>
    <row r="2100" ht="25.5" customHeight="1" x14ac:dyDescent="0.3"/>
    <row r="2101" ht="25.5" customHeight="1" x14ac:dyDescent="0.3"/>
    <row r="2102" ht="25.5" customHeight="1" x14ac:dyDescent="0.3"/>
    <row r="2103" ht="25.5" customHeight="1" x14ac:dyDescent="0.3"/>
    <row r="2104" ht="25.5" customHeight="1" x14ac:dyDescent="0.3"/>
    <row r="2105" ht="25.5" customHeight="1" x14ac:dyDescent="0.3"/>
    <row r="2106" ht="25.5" customHeight="1" x14ac:dyDescent="0.3"/>
    <row r="2107" ht="25.5" customHeight="1" x14ac:dyDescent="0.3"/>
    <row r="2108" ht="25.5" customHeight="1" x14ac:dyDescent="0.3"/>
    <row r="2109" ht="25.5" customHeight="1" x14ac:dyDescent="0.3"/>
    <row r="2110" ht="25.5" customHeight="1" x14ac:dyDescent="0.3"/>
    <row r="2111" ht="25.5" customHeight="1" x14ac:dyDescent="0.3"/>
    <row r="2112" ht="25.5" customHeight="1" x14ac:dyDescent="0.3"/>
    <row r="2113" ht="25.5" customHeight="1" x14ac:dyDescent="0.3"/>
    <row r="2114" ht="25.5" customHeight="1" x14ac:dyDescent="0.3"/>
    <row r="2115" ht="25.5" customHeight="1" x14ac:dyDescent="0.3"/>
    <row r="2116" ht="25.5" customHeight="1" x14ac:dyDescent="0.3"/>
    <row r="2117" ht="25.5" customHeight="1" x14ac:dyDescent="0.3"/>
    <row r="2118" ht="25.5" customHeight="1" x14ac:dyDescent="0.3"/>
    <row r="2119" ht="25.5" customHeight="1" x14ac:dyDescent="0.3"/>
    <row r="2120" ht="25.5" customHeight="1" x14ac:dyDescent="0.3"/>
    <row r="2121" ht="25.5" customHeight="1" x14ac:dyDescent="0.3"/>
    <row r="2122" ht="25.5" customHeight="1" x14ac:dyDescent="0.3"/>
    <row r="2123" ht="25.5" customHeight="1" x14ac:dyDescent="0.3"/>
    <row r="2124" ht="25.5" customHeight="1" x14ac:dyDescent="0.3"/>
    <row r="2125" ht="25.5" customHeight="1" x14ac:dyDescent="0.3"/>
    <row r="2126" ht="25.5" customHeight="1" x14ac:dyDescent="0.3"/>
    <row r="2127" ht="25.5" customHeight="1" x14ac:dyDescent="0.3"/>
    <row r="2128" ht="25.5" customHeight="1" x14ac:dyDescent="0.3"/>
    <row r="2129" ht="25.5" customHeight="1" x14ac:dyDescent="0.3"/>
    <row r="2130" ht="25.5" customHeight="1" x14ac:dyDescent="0.3"/>
    <row r="2131" ht="25.5" customHeight="1" x14ac:dyDescent="0.3"/>
    <row r="2132" ht="25.5" customHeight="1" x14ac:dyDescent="0.3"/>
    <row r="2133" ht="25.5" customHeight="1" x14ac:dyDescent="0.3"/>
    <row r="2134" ht="25.5" customHeight="1" x14ac:dyDescent="0.3"/>
    <row r="2135" ht="25.5" customHeight="1" x14ac:dyDescent="0.3"/>
    <row r="2136" ht="25.5" customHeight="1" x14ac:dyDescent="0.3"/>
    <row r="2137" ht="25.5" customHeight="1" x14ac:dyDescent="0.3"/>
    <row r="2138" ht="25.5" customHeight="1" x14ac:dyDescent="0.3"/>
    <row r="2139" ht="25.5" customHeight="1" x14ac:dyDescent="0.3"/>
    <row r="2140" ht="25.5" customHeight="1" x14ac:dyDescent="0.3"/>
    <row r="2141" ht="25.5" customHeight="1" x14ac:dyDescent="0.3"/>
    <row r="2142" ht="25.5" customHeight="1" x14ac:dyDescent="0.3"/>
    <row r="2143" ht="25.5" customHeight="1" x14ac:dyDescent="0.3"/>
    <row r="2144" ht="25.5" customHeight="1" x14ac:dyDescent="0.3"/>
    <row r="2145" ht="25.5" customHeight="1" x14ac:dyDescent="0.3"/>
    <row r="2146" ht="25.5" customHeight="1" x14ac:dyDescent="0.3"/>
    <row r="2147" ht="25.5" customHeight="1" x14ac:dyDescent="0.3"/>
    <row r="2148" ht="25.5" customHeight="1" x14ac:dyDescent="0.3"/>
    <row r="2149" ht="25.5" customHeight="1" x14ac:dyDescent="0.3"/>
    <row r="2150" ht="25.5" customHeight="1" x14ac:dyDescent="0.3"/>
    <row r="2151" ht="25.5" customHeight="1" x14ac:dyDescent="0.3"/>
    <row r="2152" ht="25.5" customHeight="1" x14ac:dyDescent="0.3"/>
    <row r="2153" ht="25.5" customHeight="1" x14ac:dyDescent="0.3"/>
    <row r="2154" ht="25.5" customHeight="1" x14ac:dyDescent="0.3"/>
    <row r="2155" ht="25.5" customHeight="1" x14ac:dyDescent="0.3"/>
    <row r="2156" ht="25.5" customHeight="1" x14ac:dyDescent="0.3"/>
    <row r="2157" ht="25.5" customHeight="1" x14ac:dyDescent="0.3"/>
    <row r="2158" ht="25.5" customHeight="1" x14ac:dyDescent="0.3"/>
    <row r="2159" ht="25.5" customHeight="1" x14ac:dyDescent="0.3"/>
    <row r="2160" ht="25.5" customHeight="1" x14ac:dyDescent="0.3"/>
    <row r="2161" ht="25.5" customHeight="1" x14ac:dyDescent="0.3"/>
    <row r="2162" ht="25.5" customHeight="1" x14ac:dyDescent="0.3"/>
    <row r="2163" ht="25.5" customHeight="1" x14ac:dyDescent="0.3"/>
    <row r="2164" ht="25.5" customHeight="1" x14ac:dyDescent="0.3"/>
    <row r="2165" ht="25.5" customHeight="1" x14ac:dyDescent="0.3"/>
    <row r="2166" ht="25.5" customHeight="1" x14ac:dyDescent="0.3"/>
    <row r="2167" ht="25.5" customHeight="1" x14ac:dyDescent="0.3"/>
    <row r="2168" ht="25.5" customHeight="1" x14ac:dyDescent="0.3"/>
    <row r="2169" ht="25.5" customHeight="1" x14ac:dyDescent="0.3"/>
    <row r="2170" ht="25.5" customHeight="1" x14ac:dyDescent="0.3"/>
    <row r="2171" ht="25.5" customHeight="1" x14ac:dyDescent="0.3"/>
    <row r="2172" ht="25.5" customHeight="1" x14ac:dyDescent="0.3"/>
    <row r="2173" ht="25.5" customHeight="1" x14ac:dyDescent="0.3"/>
    <row r="2174" ht="25.5" customHeight="1" x14ac:dyDescent="0.3"/>
    <row r="2175" ht="25.5" customHeight="1" x14ac:dyDescent="0.3"/>
    <row r="2176" ht="25.5" customHeight="1" x14ac:dyDescent="0.3"/>
    <row r="2177" ht="25.5" customHeight="1" x14ac:dyDescent="0.3"/>
    <row r="2178" ht="25.5" customHeight="1" x14ac:dyDescent="0.3"/>
    <row r="2179" ht="25.5" customHeight="1" x14ac:dyDescent="0.3"/>
    <row r="2180" ht="25.5" customHeight="1" x14ac:dyDescent="0.3"/>
    <row r="2181" ht="25.5" customHeight="1" x14ac:dyDescent="0.3"/>
    <row r="2182" ht="25.5" customHeight="1" x14ac:dyDescent="0.3"/>
    <row r="2183" ht="25.5" customHeight="1" x14ac:dyDescent="0.3"/>
    <row r="2184" ht="25.5" customHeight="1" x14ac:dyDescent="0.3"/>
    <row r="2185" ht="25.5" customHeight="1" x14ac:dyDescent="0.3"/>
    <row r="2186" ht="25.5" customHeight="1" x14ac:dyDescent="0.3"/>
    <row r="2187" ht="25.5" customHeight="1" x14ac:dyDescent="0.3"/>
    <row r="2188" ht="25.5" customHeight="1" x14ac:dyDescent="0.3"/>
    <row r="2189" ht="25.5" customHeight="1" x14ac:dyDescent="0.3"/>
    <row r="2190" ht="25.5" customHeight="1" x14ac:dyDescent="0.3"/>
    <row r="2191" ht="25.5" customHeight="1" x14ac:dyDescent="0.3"/>
    <row r="2192" ht="25.5" customHeight="1" x14ac:dyDescent="0.3"/>
    <row r="2193" ht="25.5" customHeight="1" x14ac:dyDescent="0.3"/>
    <row r="2194" ht="25.5" customHeight="1" x14ac:dyDescent="0.3"/>
    <row r="2195" ht="25.5" customHeight="1" x14ac:dyDescent="0.3"/>
    <row r="2196" ht="25.5" customHeight="1" x14ac:dyDescent="0.3"/>
    <row r="2197" ht="25.5" customHeight="1" x14ac:dyDescent="0.3"/>
    <row r="2198" ht="25.5" customHeight="1" x14ac:dyDescent="0.3"/>
    <row r="2199" ht="25.5" customHeight="1" x14ac:dyDescent="0.3"/>
    <row r="2200" ht="25.5" customHeight="1" x14ac:dyDescent="0.3"/>
    <row r="2201" ht="25.5" customHeight="1" x14ac:dyDescent="0.3"/>
    <row r="2202" ht="25.5" customHeight="1" x14ac:dyDescent="0.3"/>
    <row r="2203" ht="25.5" customHeight="1" x14ac:dyDescent="0.3"/>
    <row r="2204" ht="25.5" customHeight="1" x14ac:dyDescent="0.3"/>
    <row r="2205" ht="25.5" customHeight="1" x14ac:dyDescent="0.3"/>
    <row r="2206" ht="25.5" customHeight="1" x14ac:dyDescent="0.3"/>
    <row r="2207" ht="25.5" customHeight="1" x14ac:dyDescent="0.3"/>
    <row r="2208" ht="25.5" customHeight="1" x14ac:dyDescent="0.3"/>
    <row r="2209" ht="25.5" customHeight="1" x14ac:dyDescent="0.3"/>
    <row r="2210" ht="25.5" customHeight="1" x14ac:dyDescent="0.3"/>
    <row r="2211" ht="25.5" customHeight="1" x14ac:dyDescent="0.3"/>
    <row r="2212" ht="25.5" customHeight="1" x14ac:dyDescent="0.3"/>
    <row r="2213" ht="25.5" customHeight="1" x14ac:dyDescent="0.3"/>
    <row r="2214" ht="25.5" customHeight="1" x14ac:dyDescent="0.3"/>
    <row r="2215" ht="25.5" customHeight="1" x14ac:dyDescent="0.3"/>
    <row r="2216" ht="25.5" customHeight="1" x14ac:dyDescent="0.3"/>
    <row r="2217" ht="25.5" customHeight="1" x14ac:dyDescent="0.3"/>
    <row r="2218" ht="25.5" customHeight="1" x14ac:dyDescent="0.3"/>
    <row r="2219" ht="25.5" customHeight="1" x14ac:dyDescent="0.3"/>
    <row r="2220" ht="25.5" customHeight="1" x14ac:dyDescent="0.3"/>
    <row r="2221" ht="25.5" customHeight="1" x14ac:dyDescent="0.3"/>
    <row r="2222" ht="25.5" customHeight="1" x14ac:dyDescent="0.3"/>
    <row r="2223" ht="25.5" customHeight="1" x14ac:dyDescent="0.3"/>
    <row r="2224" ht="25.5" customHeight="1" x14ac:dyDescent="0.3"/>
    <row r="2225" ht="25.5" customHeight="1" x14ac:dyDescent="0.3"/>
    <row r="2226" ht="25.5" customHeight="1" x14ac:dyDescent="0.3"/>
    <row r="2227" ht="25.5" customHeight="1" x14ac:dyDescent="0.3"/>
    <row r="2228" ht="25.5" customHeight="1" x14ac:dyDescent="0.3"/>
    <row r="2229" ht="25.5" customHeight="1" x14ac:dyDescent="0.3"/>
    <row r="2230" ht="25.5" customHeight="1" x14ac:dyDescent="0.3"/>
    <row r="2231" ht="25.5" customHeight="1" x14ac:dyDescent="0.3"/>
    <row r="2232" ht="25.5" customHeight="1" x14ac:dyDescent="0.3"/>
    <row r="2233" ht="25.5" customHeight="1" x14ac:dyDescent="0.3"/>
    <row r="2234" ht="25.5" customHeight="1" x14ac:dyDescent="0.3"/>
    <row r="2235" ht="25.5" customHeight="1" x14ac:dyDescent="0.3"/>
    <row r="2236" ht="25.5" customHeight="1" x14ac:dyDescent="0.3"/>
    <row r="2237" ht="25.5" customHeight="1" x14ac:dyDescent="0.3"/>
    <row r="2238" ht="25.5" customHeight="1" x14ac:dyDescent="0.3"/>
    <row r="2239" ht="25.5" customHeight="1" x14ac:dyDescent="0.3"/>
    <row r="2240" ht="25.5" customHeight="1" x14ac:dyDescent="0.3"/>
    <row r="2241" ht="25.5" customHeight="1" x14ac:dyDescent="0.3"/>
    <row r="2242" ht="25.5" customHeight="1" x14ac:dyDescent="0.3"/>
    <row r="2243" ht="25.5" customHeight="1" x14ac:dyDescent="0.3"/>
    <row r="2244" ht="25.5" customHeight="1" x14ac:dyDescent="0.3"/>
    <row r="2245" ht="25.5" customHeight="1" x14ac:dyDescent="0.3"/>
    <row r="2246" ht="25.5" customHeight="1" x14ac:dyDescent="0.3"/>
    <row r="2247" ht="25.5" customHeight="1" x14ac:dyDescent="0.3"/>
    <row r="2248" ht="25.5" customHeight="1" x14ac:dyDescent="0.3"/>
    <row r="2249" ht="25.5" customHeight="1" x14ac:dyDescent="0.3"/>
    <row r="2250" ht="25.5" customHeight="1" x14ac:dyDescent="0.3"/>
    <row r="2251" ht="25.5" customHeight="1" x14ac:dyDescent="0.3"/>
    <row r="2252" ht="25.5" customHeight="1" x14ac:dyDescent="0.3"/>
    <row r="2253" ht="25.5" customHeight="1" x14ac:dyDescent="0.3"/>
    <row r="2254" ht="25.5" customHeight="1" x14ac:dyDescent="0.3"/>
    <row r="2255" ht="25.5" customHeight="1" x14ac:dyDescent="0.3"/>
    <row r="2256" ht="25.5" customHeight="1" x14ac:dyDescent="0.3"/>
    <row r="2257" ht="25.5" customHeight="1" x14ac:dyDescent="0.3"/>
    <row r="2258" ht="25.5" customHeight="1" x14ac:dyDescent="0.3"/>
    <row r="2259" ht="25.5" customHeight="1" x14ac:dyDescent="0.3"/>
    <row r="2260" ht="25.5" customHeight="1" x14ac:dyDescent="0.3"/>
    <row r="2261" ht="25.5" customHeight="1" x14ac:dyDescent="0.3"/>
    <row r="2262" ht="25.5" customHeight="1" x14ac:dyDescent="0.3"/>
    <row r="2263" ht="25.5" customHeight="1" x14ac:dyDescent="0.3"/>
    <row r="2264" ht="25.5" customHeight="1" x14ac:dyDescent="0.3"/>
    <row r="2265" ht="25.5" customHeight="1" x14ac:dyDescent="0.3"/>
    <row r="2266" ht="25.5" customHeight="1" x14ac:dyDescent="0.3"/>
    <row r="2267" ht="25.5" customHeight="1" x14ac:dyDescent="0.3"/>
    <row r="2268" ht="25.5" customHeight="1" x14ac:dyDescent="0.3"/>
    <row r="2269" ht="25.5" customHeight="1" x14ac:dyDescent="0.3"/>
    <row r="2270" ht="25.5" customHeight="1" x14ac:dyDescent="0.3"/>
    <row r="2271" ht="25.5" customHeight="1" x14ac:dyDescent="0.3"/>
    <row r="2272" ht="25.5" customHeight="1" x14ac:dyDescent="0.3"/>
    <row r="2273" ht="25.5" customHeight="1" x14ac:dyDescent="0.3"/>
    <row r="2274" ht="25.5" customHeight="1" x14ac:dyDescent="0.3"/>
    <row r="2275" ht="25.5" customHeight="1" x14ac:dyDescent="0.3"/>
    <row r="2276" ht="25.5" customHeight="1" x14ac:dyDescent="0.3"/>
    <row r="2277" ht="25.5" customHeight="1" x14ac:dyDescent="0.3"/>
    <row r="2278" ht="25.5" customHeight="1" x14ac:dyDescent="0.3"/>
    <row r="2279" ht="25.5" customHeight="1" x14ac:dyDescent="0.3"/>
    <row r="2280" ht="25.5" customHeight="1" x14ac:dyDescent="0.3"/>
    <row r="2281" ht="25.5" customHeight="1" x14ac:dyDescent="0.3"/>
    <row r="2282" ht="25.5" customHeight="1" x14ac:dyDescent="0.3"/>
    <row r="2283" ht="25.5" customHeight="1" x14ac:dyDescent="0.3"/>
    <row r="2284" ht="25.5" customHeight="1" x14ac:dyDescent="0.3"/>
    <row r="2285" ht="25.5" customHeight="1" x14ac:dyDescent="0.3"/>
    <row r="2286" ht="25.5" customHeight="1" x14ac:dyDescent="0.3"/>
    <row r="2287" ht="25.5" customHeight="1" x14ac:dyDescent="0.3"/>
    <row r="2288" ht="25.5" customHeight="1" x14ac:dyDescent="0.3"/>
    <row r="2289" ht="25.5" customHeight="1" x14ac:dyDescent="0.3"/>
    <row r="2290" ht="25.5" customHeight="1" x14ac:dyDescent="0.3"/>
    <row r="2291" ht="25.5" customHeight="1" x14ac:dyDescent="0.3"/>
    <row r="2292" ht="25.5" customHeight="1" x14ac:dyDescent="0.3"/>
    <row r="2293" ht="25.5" customHeight="1" x14ac:dyDescent="0.3"/>
    <row r="2294" ht="25.5" customHeight="1" x14ac:dyDescent="0.3"/>
    <row r="2295" ht="25.5" customHeight="1" x14ac:dyDescent="0.3"/>
    <row r="2296" ht="25.5" customHeight="1" x14ac:dyDescent="0.3"/>
    <row r="2297" ht="25.5" customHeight="1" x14ac:dyDescent="0.3"/>
    <row r="2298" ht="25.5" customHeight="1" x14ac:dyDescent="0.3"/>
    <row r="2299" ht="25.5" customHeight="1" x14ac:dyDescent="0.3"/>
    <row r="2300" ht="25.5" customHeight="1" x14ac:dyDescent="0.3"/>
    <row r="2301" ht="25.5" customHeight="1" x14ac:dyDescent="0.3"/>
    <row r="2302" ht="25.5" customHeight="1" x14ac:dyDescent="0.3"/>
    <row r="2303" ht="25.5" customHeight="1" x14ac:dyDescent="0.3"/>
    <row r="2304" ht="25.5" customHeight="1" x14ac:dyDescent="0.3"/>
    <row r="2305" ht="25.5" customHeight="1" x14ac:dyDescent="0.3"/>
    <row r="2306" ht="25.5" customHeight="1" x14ac:dyDescent="0.3"/>
    <row r="2307" ht="25.5" customHeight="1" x14ac:dyDescent="0.3"/>
    <row r="2308" ht="25.5" customHeight="1" x14ac:dyDescent="0.3"/>
    <row r="2309" ht="25.5" customHeight="1" x14ac:dyDescent="0.3"/>
    <row r="2310" ht="25.5" customHeight="1" x14ac:dyDescent="0.3"/>
    <row r="2311" ht="25.5" customHeight="1" x14ac:dyDescent="0.3"/>
    <row r="2312" ht="25.5" customHeight="1" x14ac:dyDescent="0.3"/>
    <row r="2313" ht="25.5" customHeight="1" x14ac:dyDescent="0.3"/>
    <row r="2314" ht="25.5" customHeight="1" x14ac:dyDescent="0.3"/>
    <row r="2315" ht="25.5" customHeight="1" x14ac:dyDescent="0.3"/>
    <row r="2316" ht="25.5" customHeight="1" x14ac:dyDescent="0.3"/>
    <row r="2317" ht="25.5" customHeight="1" x14ac:dyDescent="0.3"/>
    <row r="2318" ht="25.5" customHeight="1" x14ac:dyDescent="0.3"/>
    <row r="2319" ht="25.5" customHeight="1" x14ac:dyDescent="0.3"/>
    <row r="2320" ht="25.5" customHeight="1" x14ac:dyDescent="0.3"/>
    <row r="2321" ht="25.5" customHeight="1" x14ac:dyDescent="0.3"/>
    <row r="2322" ht="25.5" customHeight="1" x14ac:dyDescent="0.3"/>
    <row r="2323" ht="25.5" customHeight="1" x14ac:dyDescent="0.3"/>
    <row r="2324" ht="25.5" customHeight="1" x14ac:dyDescent="0.3"/>
    <row r="2325" ht="25.5" customHeight="1" x14ac:dyDescent="0.3"/>
    <row r="2326" ht="25.5" customHeight="1" x14ac:dyDescent="0.3"/>
    <row r="2327" ht="25.5" customHeight="1" x14ac:dyDescent="0.3"/>
    <row r="2328" ht="25.5" customHeight="1" x14ac:dyDescent="0.3"/>
    <row r="2329" ht="25.5" customHeight="1" x14ac:dyDescent="0.3"/>
    <row r="2330" ht="25.5" customHeight="1" x14ac:dyDescent="0.3"/>
    <row r="2331" ht="25.5" customHeight="1" x14ac:dyDescent="0.3"/>
    <row r="2332" ht="25.5" customHeight="1" x14ac:dyDescent="0.3"/>
    <row r="2333" ht="25.5" customHeight="1" x14ac:dyDescent="0.3"/>
    <row r="2334" ht="25.5" customHeight="1" x14ac:dyDescent="0.3"/>
    <row r="2335" ht="25.5" customHeight="1" x14ac:dyDescent="0.3"/>
    <row r="2336" ht="25.5" customHeight="1" x14ac:dyDescent="0.3"/>
    <row r="2337" ht="25.5" customHeight="1" x14ac:dyDescent="0.3"/>
    <row r="2338" ht="25.5" customHeight="1" x14ac:dyDescent="0.3"/>
    <row r="2339" ht="25.5" customHeight="1" x14ac:dyDescent="0.3"/>
    <row r="2340" ht="25.5" customHeight="1" x14ac:dyDescent="0.3"/>
    <row r="2341" ht="25.5" customHeight="1" x14ac:dyDescent="0.3"/>
    <row r="2342" ht="25.5" customHeight="1" x14ac:dyDescent="0.3"/>
    <row r="2343" ht="25.5" customHeight="1" x14ac:dyDescent="0.3"/>
    <row r="2344" ht="25.5" customHeight="1" x14ac:dyDescent="0.3"/>
    <row r="2345" ht="25.5" customHeight="1" x14ac:dyDescent="0.3"/>
    <row r="2346" ht="25.5" customHeight="1" x14ac:dyDescent="0.3"/>
    <row r="2347" ht="25.5" customHeight="1" x14ac:dyDescent="0.3"/>
    <row r="2348" ht="25.5" customHeight="1" x14ac:dyDescent="0.3"/>
    <row r="2349" ht="25.5" customHeight="1" x14ac:dyDescent="0.3"/>
    <row r="2350" ht="25.5" customHeight="1" x14ac:dyDescent="0.3"/>
    <row r="2351" ht="25.5" customHeight="1" x14ac:dyDescent="0.3"/>
    <row r="2352" ht="25.5" customHeight="1" x14ac:dyDescent="0.3"/>
    <row r="2353" ht="25.5" customHeight="1" x14ac:dyDescent="0.3"/>
    <row r="2354" ht="25.5" customHeight="1" x14ac:dyDescent="0.3"/>
    <row r="2355" ht="25.5" customHeight="1" x14ac:dyDescent="0.3"/>
    <row r="2356" ht="25.5" customHeight="1" x14ac:dyDescent="0.3"/>
    <row r="2357" ht="25.5" customHeight="1" x14ac:dyDescent="0.3"/>
    <row r="2358" ht="25.5" customHeight="1" x14ac:dyDescent="0.3"/>
    <row r="2359" ht="25.5" customHeight="1" x14ac:dyDescent="0.3"/>
    <row r="2360" ht="25.5" customHeight="1" x14ac:dyDescent="0.3"/>
    <row r="2361" ht="25.5" customHeight="1" x14ac:dyDescent="0.3"/>
    <row r="2362" ht="25.5" customHeight="1" x14ac:dyDescent="0.3"/>
    <row r="2363" ht="25.5" customHeight="1" x14ac:dyDescent="0.3"/>
    <row r="2364" ht="25.5" customHeight="1" x14ac:dyDescent="0.3"/>
    <row r="2365" ht="25.5" customHeight="1" x14ac:dyDescent="0.3"/>
    <row r="2366" ht="25.5" customHeight="1" x14ac:dyDescent="0.3"/>
    <row r="2367" ht="25.5" customHeight="1" x14ac:dyDescent="0.3"/>
    <row r="2368" ht="25.5" customHeight="1" x14ac:dyDescent="0.3"/>
    <row r="2369" ht="25.5" customHeight="1" x14ac:dyDescent="0.3"/>
    <row r="2370" ht="25.5" customHeight="1" x14ac:dyDescent="0.3"/>
    <row r="2371" ht="25.5" customHeight="1" x14ac:dyDescent="0.3"/>
    <row r="2372" ht="25.5" customHeight="1" x14ac:dyDescent="0.3"/>
    <row r="2373" ht="25.5" customHeight="1" x14ac:dyDescent="0.3"/>
    <row r="2374" ht="25.5" customHeight="1" x14ac:dyDescent="0.3"/>
    <row r="2375" ht="25.5" customHeight="1" x14ac:dyDescent="0.3"/>
    <row r="2376" ht="25.5" customHeight="1" x14ac:dyDescent="0.3"/>
    <row r="2377" ht="25.5" customHeight="1" x14ac:dyDescent="0.3"/>
    <row r="2378" ht="25.5" customHeight="1" x14ac:dyDescent="0.3"/>
    <row r="2379" ht="25.5" customHeight="1" x14ac:dyDescent="0.3"/>
    <row r="2380" ht="25.5" customHeight="1" x14ac:dyDescent="0.3"/>
    <row r="2381" ht="25.5" customHeight="1" x14ac:dyDescent="0.3"/>
    <row r="2382" ht="25.5" customHeight="1" x14ac:dyDescent="0.3"/>
    <row r="2383" ht="25.5" customHeight="1" x14ac:dyDescent="0.3"/>
    <row r="2384" ht="25.5" customHeight="1" x14ac:dyDescent="0.3"/>
    <row r="2385" ht="25.5" customHeight="1" x14ac:dyDescent="0.3"/>
    <row r="2386" ht="25.5" customHeight="1" x14ac:dyDescent="0.3"/>
    <row r="2387" ht="25.5" customHeight="1" x14ac:dyDescent="0.3"/>
    <row r="2388" ht="25.5" customHeight="1" x14ac:dyDescent="0.3"/>
    <row r="2389" ht="25.5" customHeight="1" x14ac:dyDescent="0.3"/>
    <row r="2390" ht="25.5" customHeight="1" x14ac:dyDescent="0.3"/>
    <row r="2391" ht="25.5" customHeight="1" x14ac:dyDescent="0.3"/>
    <row r="2392" ht="25.5" customHeight="1" x14ac:dyDescent="0.3"/>
    <row r="2393" ht="25.5" customHeight="1" x14ac:dyDescent="0.3"/>
    <row r="2394" ht="25.5" customHeight="1" x14ac:dyDescent="0.3"/>
    <row r="2395" ht="25.5" customHeight="1" x14ac:dyDescent="0.3"/>
    <row r="2396" ht="25.5" customHeight="1" x14ac:dyDescent="0.3"/>
    <row r="2397" ht="25.5" customHeight="1" x14ac:dyDescent="0.3"/>
    <row r="2398" ht="25.5" customHeight="1" x14ac:dyDescent="0.3"/>
    <row r="2399" ht="25.5" customHeight="1" x14ac:dyDescent="0.3"/>
    <row r="2400" ht="25.5" customHeight="1" x14ac:dyDescent="0.3"/>
    <row r="2401" ht="25.5" customHeight="1" x14ac:dyDescent="0.3"/>
    <row r="2402" ht="25.5" customHeight="1" x14ac:dyDescent="0.3"/>
    <row r="2403" ht="25.5" customHeight="1" x14ac:dyDescent="0.3"/>
    <row r="2404" ht="25.5" customHeight="1" x14ac:dyDescent="0.3"/>
    <row r="2405" ht="25.5" customHeight="1" x14ac:dyDescent="0.3"/>
    <row r="2406" ht="25.5" customHeight="1" x14ac:dyDescent="0.3"/>
    <row r="2407" ht="25.5" customHeight="1" x14ac:dyDescent="0.3"/>
    <row r="2408" ht="25.5" customHeight="1" x14ac:dyDescent="0.3"/>
    <row r="2409" ht="25.5" customHeight="1" x14ac:dyDescent="0.3"/>
    <row r="2410" ht="25.5" customHeight="1" x14ac:dyDescent="0.3"/>
    <row r="2411" ht="25.5" customHeight="1" x14ac:dyDescent="0.3"/>
    <row r="2412" ht="25.5" customHeight="1" x14ac:dyDescent="0.3"/>
    <row r="2413" ht="25.5" customHeight="1" x14ac:dyDescent="0.3"/>
    <row r="2414" ht="25.5" customHeight="1" x14ac:dyDescent="0.3"/>
    <row r="2415" ht="25.5" customHeight="1" x14ac:dyDescent="0.3"/>
    <row r="2416" ht="25.5" customHeight="1" x14ac:dyDescent="0.3"/>
    <row r="2417" ht="25.5" customHeight="1" x14ac:dyDescent="0.3"/>
    <row r="2418" ht="25.5" customHeight="1" x14ac:dyDescent="0.3"/>
    <row r="2419" ht="25.5" customHeight="1" x14ac:dyDescent="0.3"/>
    <row r="2420" ht="25.5" customHeight="1" x14ac:dyDescent="0.3"/>
    <row r="2421" ht="25.5" customHeight="1" x14ac:dyDescent="0.3"/>
    <row r="2422" ht="25.5" customHeight="1" x14ac:dyDescent="0.3"/>
    <row r="2423" ht="25.5" customHeight="1" x14ac:dyDescent="0.3"/>
    <row r="2424" ht="25.5" customHeight="1" x14ac:dyDescent="0.3"/>
    <row r="2425" ht="25.5" customHeight="1" x14ac:dyDescent="0.3"/>
    <row r="2426" ht="25.5" customHeight="1" x14ac:dyDescent="0.3"/>
    <row r="2427" ht="25.5" customHeight="1" x14ac:dyDescent="0.3"/>
    <row r="2428" ht="25.5" customHeight="1" x14ac:dyDescent="0.3"/>
    <row r="2429" ht="25.5" customHeight="1" x14ac:dyDescent="0.3"/>
    <row r="2430" ht="25.5" customHeight="1" x14ac:dyDescent="0.3"/>
    <row r="2431" ht="25.5" customHeight="1" x14ac:dyDescent="0.3"/>
    <row r="2432" ht="25.5" customHeight="1" x14ac:dyDescent="0.3"/>
    <row r="2433" ht="25.5" customHeight="1" x14ac:dyDescent="0.3"/>
    <row r="2434" ht="25.5" customHeight="1" x14ac:dyDescent="0.3"/>
    <row r="2435" ht="25.5" customHeight="1" x14ac:dyDescent="0.3"/>
    <row r="2436" ht="25.5" customHeight="1" x14ac:dyDescent="0.3"/>
    <row r="2437" ht="25.5" customHeight="1" x14ac:dyDescent="0.3"/>
    <row r="2438" ht="25.5" customHeight="1" x14ac:dyDescent="0.3"/>
    <row r="2439" ht="25.5" customHeight="1" x14ac:dyDescent="0.3"/>
    <row r="2440" ht="25.5" customHeight="1" x14ac:dyDescent="0.3"/>
    <row r="2441" ht="25.5" customHeight="1" x14ac:dyDescent="0.3"/>
    <row r="2442" ht="25.5" customHeight="1" x14ac:dyDescent="0.3"/>
    <row r="2443" ht="25.5" customHeight="1" x14ac:dyDescent="0.3"/>
    <row r="2444" ht="25.5" customHeight="1" x14ac:dyDescent="0.3"/>
    <row r="2445" ht="25.5" customHeight="1" x14ac:dyDescent="0.3"/>
    <row r="2446" ht="25.5" customHeight="1" x14ac:dyDescent="0.3"/>
    <row r="2447" ht="25.5" customHeight="1" x14ac:dyDescent="0.3"/>
    <row r="2448" ht="25.5" customHeight="1" x14ac:dyDescent="0.3"/>
    <row r="2449" ht="25.5" customHeight="1" x14ac:dyDescent="0.3"/>
    <row r="2450" ht="25.5" customHeight="1" x14ac:dyDescent="0.3"/>
    <row r="2451" ht="25.5" customHeight="1" x14ac:dyDescent="0.3"/>
    <row r="2452" ht="25.5" customHeight="1" x14ac:dyDescent="0.3"/>
    <row r="2453" ht="25.5" customHeight="1" x14ac:dyDescent="0.3"/>
    <row r="2454" ht="25.5" customHeight="1" x14ac:dyDescent="0.3"/>
    <row r="2455" ht="25.5" customHeight="1" x14ac:dyDescent="0.3"/>
    <row r="2456" ht="25.5" customHeight="1" x14ac:dyDescent="0.3"/>
    <row r="2457" ht="25.5" customHeight="1" x14ac:dyDescent="0.3"/>
    <row r="2458" ht="25.5" customHeight="1" x14ac:dyDescent="0.3"/>
    <row r="2459" ht="25.5" customHeight="1" x14ac:dyDescent="0.3"/>
    <row r="2460" ht="25.5" customHeight="1" x14ac:dyDescent="0.3"/>
    <row r="2461" ht="25.5" customHeight="1" x14ac:dyDescent="0.3"/>
    <row r="2462" ht="25.5" customHeight="1" x14ac:dyDescent="0.3"/>
    <row r="2463" ht="25.5" customHeight="1" x14ac:dyDescent="0.3"/>
    <row r="2464" ht="25.5" customHeight="1" x14ac:dyDescent="0.3"/>
    <row r="2465" ht="25.5" customHeight="1" x14ac:dyDescent="0.3"/>
    <row r="2466" ht="25.5" customHeight="1" x14ac:dyDescent="0.3"/>
    <row r="2467" ht="25.5" customHeight="1" x14ac:dyDescent="0.3"/>
    <row r="2468" ht="25.5" customHeight="1" x14ac:dyDescent="0.3"/>
    <row r="2469" ht="25.5" customHeight="1" x14ac:dyDescent="0.3"/>
    <row r="2470" ht="25.5" customHeight="1" x14ac:dyDescent="0.3"/>
    <row r="2471" ht="25.5" customHeight="1" x14ac:dyDescent="0.3"/>
    <row r="2472" ht="25.5" customHeight="1" x14ac:dyDescent="0.3"/>
    <row r="2473" ht="25.5" customHeight="1" x14ac:dyDescent="0.3"/>
    <row r="2474" ht="25.5" customHeight="1" x14ac:dyDescent="0.3"/>
    <row r="2475" ht="25.5" customHeight="1" x14ac:dyDescent="0.3"/>
    <row r="2476" ht="25.5" customHeight="1" x14ac:dyDescent="0.3"/>
    <row r="2477" ht="25.5" customHeight="1" x14ac:dyDescent="0.3"/>
    <row r="2478" ht="25.5" customHeight="1" x14ac:dyDescent="0.3"/>
    <row r="2479" ht="25.5" customHeight="1" x14ac:dyDescent="0.3"/>
    <row r="2480" ht="25.5" customHeight="1" x14ac:dyDescent="0.3"/>
    <row r="2481" ht="25.5" customHeight="1" x14ac:dyDescent="0.3"/>
    <row r="2482" ht="25.5" customHeight="1" x14ac:dyDescent="0.3"/>
    <row r="2483" ht="25.5" customHeight="1" x14ac:dyDescent="0.3"/>
    <row r="2484" ht="25.5" customHeight="1" x14ac:dyDescent="0.3"/>
    <row r="2485" ht="25.5" customHeight="1" x14ac:dyDescent="0.3"/>
    <row r="2486" ht="25.5" customHeight="1" x14ac:dyDescent="0.3"/>
    <row r="2487" ht="25.5" customHeight="1" x14ac:dyDescent="0.3"/>
    <row r="2488" ht="25.5" customHeight="1" x14ac:dyDescent="0.3"/>
    <row r="2489" ht="25.5" customHeight="1" x14ac:dyDescent="0.3"/>
    <row r="2490" ht="25.5" customHeight="1" x14ac:dyDescent="0.3"/>
    <row r="2491" ht="25.5" customHeight="1" x14ac:dyDescent="0.3"/>
    <row r="2492" ht="25.5" customHeight="1" x14ac:dyDescent="0.3"/>
    <row r="2493" ht="25.5" customHeight="1" x14ac:dyDescent="0.3"/>
    <row r="2494" ht="25.5" customHeight="1" x14ac:dyDescent="0.3"/>
    <row r="2495" ht="25.5" customHeight="1" x14ac:dyDescent="0.3"/>
    <row r="2496" ht="25.5" customHeight="1" x14ac:dyDescent="0.3"/>
    <row r="2497" ht="25.5" customHeight="1" x14ac:dyDescent="0.3"/>
    <row r="2498" ht="25.5" customHeight="1" x14ac:dyDescent="0.3"/>
    <row r="2499" ht="25.5" customHeight="1" x14ac:dyDescent="0.3"/>
    <row r="2500" ht="25.5" customHeight="1" x14ac:dyDescent="0.3"/>
    <row r="2501" ht="25.5" customHeight="1" x14ac:dyDescent="0.3"/>
    <row r="2502" ht="25.5" customHeight="1" x14ac:dyDescent="0.3"/>
    <row r="2503" ht="25.5" customHeight="1" x14ac:dyDescent="0.3"/>
    <row r="2504" ht="25.5" customHeight="1" x14ac:dyDescent="0.3"/>
    <row r="2505" ht="25.5" customHeight="1" x14ac:dyDescent="0.3"/>
    <row r="2506" ht="25.5" customHeight="1" x14ac:dyDescent="0.3"/>
    <row r="2507" ht="25.5" customHeight="1" x14ac:dyDescent="0.3"/>
    <row r="2508" ht="25.5" customHeight="1" x14ac:dyDescent="0.3"/>
    <row r="2509" ht="25.5" customHeight="1" x14ac:dyDescent="0.3"/>
    <row r="2510" ht="25.5" customHeight="1" x14ac:dyDescent="0.3"/>
    <row r="2511" ht="25.5" customHeight="1" x14ac:dyDescent="0.3"/>
    <row r="2512" ht="25.5" customHeight="1" x14ac:dyDescent="0.3"/>
    <row r="2513" ht="25.5" customHeight="1" x14ac:dyDescent="0.3"/>
    <row r="2514" ht="25.5" customHeight="1" x14ac:dyDescent="0.3"/>
    <row r="2515" ht="25.5" customHeight="1" x14ac:dyDescent="0.3"/>
    <row r="2516" ht="25.5" customHeight="1" x14ac:dyDescent="0.3"/>
    <row r="2517" ht="25.5" customHeight="1" x14ac:dyDescent="0.3"/>
    <row r="2518" ht="25.5" customHeight="1" x14ac:dyDescent="0.3"/>
    <row r="2519" ht="25.5" customHeight="1" x14ac:dyDescent="0.3"/>
    <row r="2520" ht="25.5" customHeight="1" x14ac:dyDescent="0.3"/>
    <row r="2521" ht="25.5" customHeight="1" x14ac:dyDescent="0.3"/>
    <row r="2522" ht="25.5" customHeight="1" x14ac:dyDescent="0.3"/>
    <row r="2523" ht="25.5" customHeight="1" x14ac:dyDescent="0.3"/>
    <row r="2524" ht="25.5" customHeight="1" x14ac:dyDescent="0.3"/>
    <row r="2525" ht="25.5" customHeight="1" x14ac:dyDescent="0.3"/>
    <row r="2526" ht="25.5" customHeight="1" x14ac:dyDescent="0.3"/>
    <row r="2527" ht="25.5" customHeight="1" x14ac:dyDescent="0.3"/>
    <row r="2528" ht="25.5" customHeight="1" x14ac:dyDescent="0.3"/>
    <row r="2529" ht="25.5" customHeight="1" x14ac:dyDescent="0.3"/>
    <row r="2530" ht="25.5" customHeight="1" x14ac:dyDescent="0.3"/>
    <row r="2531" ht="25.5" customHeight="1" x14ac:dyDescent="0.3"/>
    <row r="2532" ht="25.5" customHeight="1" x14ac:dyDescent="0.3"/>
    <row r="2533" ht="25.5" customHeight="1" x14ac:dyDescent="0.3"/>
    <row r="2534" ht="25.5" customHeight="1" x14ac:dyDescent="0.3"/>
    <row r="2535" ht="25.5" customHeight="1" x14ac:dyDescent="0.3"/>
    <row r="2536" ht="25.5" customHeight="1" x14ac:dyDescent="0.3"/>
    <row r="2537" ht="25.5" customHeight="1" x14ac:dyDescent="0.3"/>
    <row r="2538" ht="25.5" customHeight="1" x14ac:dyDescent="0.3"/>
    <row r="2539" ht="25.5" customHeight="1" x14ac:dyDescent="0.3"/>
    <row r="2540" ht="25.5" customHeight="1" x14ac:dyDescent="0.3"/>
    <row r="2541" ht="25.5" customHeight="1" x14ac:dyDescent="0.3"/>
    <row r="2542" ht="25.5" customHeight="1" x14ac:dyDescent="0.3"/>
    <row r="2543" ht="25.5" customHeight="1" x14ac:dyDescent="0.3"/>
    <row r="2544" ht="25.5" customHeight="1" x14ac:dyDescent="0.3"/>
    <row r="2545" ht="25.5" customHeight="1" x14ac:dyDescent="0.3"/>
    <row r="2546" ht="25.5" customHeight="1" x14ac:dyDescent="0.3"/>
    <row r="2547" ht="25.5" customHeight="1" x14ac:dyDescent="0.3"/>
    <row r="2548" ht="25.5" customHeight="1" x14ac:dyDescent="0.3"/>
    <row r="2549" ht="25.5" customHeight="1" x14ac:dyDescent="0.3"/>
    <row r="2550" ht="25.5" customHeight="1" x14ac:dyDescent="0.3"/>
    <row r="2551" ht="25.5" customHeight="1" x14ac:dyDescent="0.3"/>
    <row r="2552" ht="25.5" customHeight="1" x14ac:dyDescent="0.3"/>
    <row r="2553" ht="25.5" customHeight="1" x14ac:dyDescent="0.3"/>
    <row r="2554" ht="25.5" customHeight="1" x14ac:dyDescent="0.3"/>
    <row r="2555" ht="25.5" customHeight="1" x14ac:dyDescent="0.3"/>
    <row r="2556" ht="25.5" customHeight="1" x14ac:dyDescent="0.3"/>
    <row r="2557" ht="25.5" customHeight="1" x14ac:dyDescent="0.3"/>
    <row r="2558" ht="25.5" customHeight="1" x14ac:dyDescent="0.3"/>
    <row r="2559" ht="25.5" customHeight="1" x14ac:dyDescent="0.3"/>
    <row r="2560" ht="25.5" customHeight="1" x14ac:dyDescent="0.3"/>
    <row r="2561" ht="25.5" customHeight="1" x14ac:dyDescent="0.3"/>
    <row r="2562" ht="25.5" customHeight="1" x14ac:dyDescent="0.3"/>
    <row r="2563" ht="25.5" customHeight="1" x14ac:dyDescent="0.3"/>
    <row r="2564" ht="25.5" customHeight="1" x14ac:dyDescent="0.3"/>
    <row r="2565" ht="25.5" customHeight="1" x14ac:dyDescent="0.3"/>
    <row r="2566" ht="25.5" customHeight="1" x14ac:dyDescent="0.3"/>
    <row r="2567" ht="25.5" customHeight="1" x14ac:dyDescent="0.3"/>
    <row r="2568" ht="25.5" customHeight="1" x14ac:dyDescent="0.3"/>
    <row r="2569" ht="25.5" customHeight="1" x14ac:dyDescent="0.3"/>
    <row r="2570" ht="25.5" customHeight="1" x14ac:dyDescent="0.3"/>
    <row r="2571" ht="25.5" customHeight="1" x14ac:dyDescent="0.3"/>
    <row r="2572" ht="25.5" customHeight="1" x14ac:dyDescent="0.3"/>
    <row r="2573" ht="25.5" customHeight="1" x14ac:dyDescent="0.3"/>
    <row r="2574" ht="25.5" customHeight="1" x14ac:dyDescent="0.3"/>
    <row r="2575" ht="25.5" customHeight="1" x14ac:dyDescent="0.3"/>
    <row r="2576" ht="25.5" customHeight="1" x14ac:dyDescent="0.3"/>
    <row r="2577" ht="25.5" customHeight="1" x14ac:dyDescent="0.3"/>
    <row r="2578" ht="25.5" customHeight="1" x14ac:dyDescent="0.3"/>
    <row r="2579" ht="25.5" customHeight="1" x14ac:dyDescent="0.3"/>
    <row r="2580" ht="25.5" customHeight="1" x14ac:dyDescent="0.3"/>
    <row r="2581" ht="25.5" customHeight="1" x14ac:dyDescent="0.3"/>
    <row r="2582" ht="25.5" customHeight="1" x14ac:dyDescent="0.3"/>
    <row r="2583" ht="25.5" customHeight="1" x14ac:dyDescent="0.3"/>
    <row r="2584" ht="25.5" customHeight="1" x14ac:dyDescent="0.3"/>
    <row r="2585" ht="25.5" customHeight="1" x14ac:dyDescent="0.3"/>
    <row r="2586" ht="25.5" customHeight="1" x14ac:dyDescent="0.3"/>
    <row r="2587" ht="25.5" customHeight="1" x14ac:dyDescent="0.3"/>
    <row r="2588" ht="25.5" customHeight="1" x14ac:dyDescent="0.3"/>
    <row r="2589" ht="25.5" customHeight="1" x14ac:dyDescent="0.3"/>
    <row r="2590" ht="25.5" customHeight="1" x14ac:dyDescent="0.3"/>
    <row r="2591" ht="25.5" customHeight="1" x14ac:dyDescent="0.3"/>
    <row r="2592" ht="25.5" customHeight="1" x14ac:dyDescent="0.3"/>
    <row r="2593" ht="25.5" customHeight="1" x14ac:dyDescent="0.3"/>
    <row r="2594" ht="25.5" customHeight="1" x14ac:dyDescent="0.3"/>
    <row r="2595" ht="25.5" customHeight="1" x14ac:dyDescent="0.3"/>
    <row r="2596" ht="25.5" customHeight="1" x14ac:dyDescent="0.3"/>
    <row r="2597" ht="25.5" customHeight="1" x14ac:dyDescent="0.3"/>
    <row r="2598" ht="25.5" customHeight="1" x14ac:dyDescent="0.3"/>
    <row r="2599" ht="25.5" customHeight="1" x14ac:dyDescent="0.3"/>
    <row r="2600" ht="25.5" customHeight="1" x14ac:dyDescent="0.3"/>
    <row r="2601" ht="25.5" customHeight="1" x14ac:dyDescent="0.3"/>
    <row r="2602" ht="25.5" customHeight="1" x14ac:dyDescent="0.3"/>
    <row r="2603" ht="25.5" customHeight="1" x14ac:dyDescent="0.3"/>
    <row r="2604" ht="25.5" customHeight="1" x14ac:dyDescent="0.3"/>
    <row r="2605" ht="25.5" customHeight="1" x14ac:dyDescent="0.3"/>
    <row r="2606" ht="25.5" customHeight="1" x14ac:dyDescent="0.3"/>
    <row r="2607" ht="25.5" customHeight="1" x14ac:dyDescent="0.3"/>
    <row r="2608" ht="25.5" customHeight="1" x14ac:dyDescent="0.3"/>
    <row r="2609" ht="25.5" customHeight="1" x14ac:dyDescent="0.3"/>
    <row r="2610" ht="25.5" customHeight="1" x14ac:dyDescent="0.3"/>
    <row r="2611" ht="25.5" customHeight="1" x14ac:dyDescent="0.3"/>
    <row r="2612" ht="25.5" customHeight="1" x14ac:dyDescent="0.3"/>
    <row r="2613" ht="25.5" customHeight="1" x14ac:dyDescent="0.3"/>
    <row r="2614" ht="25.5" customHeight="1" x14ac:dyDescent="0.3"/>
    <row r="2615" ht="25.5" customHeight="1" x14ac:dyDescent="0.3"/>
    <row r="2616" ht="25.5" customHeight="1" x14ac:dyDescent="0.3"/>
    <row r="2617" ht="25.5" customHeight="1" x14ac:dyDescent="0.3"/>
    <row r="2618" ht="25.5" customHeight="1" x14ac:dyDescent="0.3"/>
    <row r="2619" ht="25.5" customHeight="1" x14ac:dyDescent="0.3"/>
    <row r="2620" ht="25.5" customHeight="1" x14ac:dyDescent="0.3"/>
    <row r="2621" ht="25.5" customHeight="1" x14ac:dyDescent="0.3"/>
    <row r="2622" ht="25.5" customHeight="1" x14ac:dyDescent="0.3"/>
    <row r="2623" ht="25.5" customHeight="1" x14ac:dyDescent="0.3"/>
    <row r="2624" ht="25.5" customHeight="1" x14ac:dyDescent="0.3"/>
    <row r="2625" ht="25.5" customHeight="1" x14ac:dyDescent="0.3"/>
    <row r="2626" ht="25.5" customHeight="1" x14ac:dyDescent="0.3"/>
    <row r="2627" ht="25.5" customHeight="1" x14ac:dyDescent="0.3"/>
    <row r="2628" ht="25.5" customHeight="1" x14ac:dyDescent="0.3"/>
    <row r="2629" ht="25.5" customHeight="1" x14ac:dyDescent="0.3"/>
    <row r="2630" ht="25.5" customHeight="1" x14ac:dyDescent="0.3"/>
    <row r="2631" ht="25.5" customHeight="1" x14ac:dyDescent="0.3"/>
    <row r="2632" ht="25.5" customHeight="1" x14ac:dyDescent="0.3"/>
    <row r="2633" ht="25.5" customHeight="1" x14ac:dyDescent="0.3"/>
    <row r="2634" ht="25.5" customHeight="1" x14ac:dyDescent="0.3"/>
    <row r="2635" ht="25.5" customHeight="1" x14ac:dyDescent="0.3"/>
    <row r="2636" ht="25.5" customHeight="1" x14ac:dyDescent="0.3"/>
    <row r="2637" ht="25.5" customHeight="1" x14ac:dyDescent="0.3"/>
    <row r="2638" ht="25.5" customHeight="1" x14ac:dyDescent="0.3"/>
    <row r="2639" ht="25.5" customHeight="1" x14ac:dyDescent="0.3"/>
    <row r="2640" ht="25.5" customHeight="1" x14ac:dyDescent="0.3"/>
    <row r="2641" ht="25.5" customHeight="1" x14ac:dyDescent="0.3"/>
    <row r="2642" ht="25.5" customHeight="1" x14ac:dyDescent="0.3"/>
    <row r="2643" ht="25.5" customHeight="1" x14ac:dyDescent="0.3"/>
    <row r="2644" ht="25.5" customHeight="1" x14ac:dyDescent="0.3"/>
    <row r="2645" ht="25.5" customHeight="1" x14ac:dyDescent="0.3"/>
    <row r="2646" ht="25.5" customHeight="1" x14ac:dyDescent="0.3"/>
    <row r="2647" ht="25.5" customHeight="1" x14ac:dyDescent="0.3"/>
    <row r="2648" ht="25.5" customHeight="1" x14ac:dyDescent="0.3"/>
    <row r="2649" ht="25.5" customHeight="1" x14ac:dyDescent="0.3"/>
    <row r="2650" ht="25.5" customHeight="1" x14ac:dyDescent="0.3"/>
    <row r="2651" ht="25.5" customHeight="1" x14ac:dyDescent="0.3"/>
    <row r="2652" ht="25.5" customHeight="1" x14ac:dyDescent="0.3"/>
    <row r="2653" ht="25.5" customHeight="1" x14ac:dyDescent="0.3"/>
    <row r="2654" ht="25.5" customHeight="1" x14ac:dyDescent="0.3"/>
    <row r="2655" ht="25.5" customHeight="1" x14ac:dyDescent="0.3"/>
    <row r="2656" ht="25.5" customHeight="1" x14ac:dyDescent="0.3"/>
    <row r="2657" ht="25.5" customHeight="1" x14ac:dyDescent="0.3"/>
    <row r="2658" ht="25.5" customHeight="1" x14ac:dyDescent="0.3"/>
    <row r="2659" ht="25.5" customHeight="1" x14ac:dyDescent="0.3"/>
    <row r="2660" ht="25.5" customHeight="1" x14ac:dyDescent="0.3"/>
    <row r="2661" ht="25.5" customHeight="1" x14ac:dyDescent="0.3"/>
    <row r="2662" ht="25.5" customHeight="1" x14ac:dyDescent="0.3"/>
    <row r="2663" ht="25.5" customHeight="1" x14ac:dyDescent="0.3"/>
    <row r="2664" ht="25.5" customHeight="1" x14ac:dyDescent="0.3"/>
    <row r="2665" ht="25.5" customHeight="1" x14ac:dyDescent="0.3"/>
    <row r="2666" ht="25.5" customHeight="1" x14ac:dyDescent="0.3"/>
    <row r="2667" ht="25.5" customHeight="1" x14ac:dyDescent="0.3"/>
    <row r="2668" ht="25.5" customHeight="1" x14ac:dyDescent="0.3"/>
    <row r="2669" ht="25.5" customHeight="1" x14ac:dyDescent="0.3"/>
    <row r="2670" ht="25.5" customHeight="1" x14ac:dyDescent="0.3"/>
    <row r="2671" ht="25.5" customHeight="1" x14ac:dyDescent="0.3"/>
    <row r="2672" ht="25.5" customHeight="1" x14ac:dyDescent="0.3"/>
    <row r="2673" ht="25.5" customHeight="1" x14ac:dyDescent="0.3"/>
    <row r="2674" ht="25.5" customHeight="1" x14ac:dyDescent="0.3"/>
    <row r="2675" ht="25.5" customHeight="1" x14ac:dyDescent="0.3"/>
    <row r="2676" ht="25.5" customHeight="1" x14ac:dyDescent="0.3"/>
    <row r="2677" ht="25.5" customHeight="1" x14ac:dyDescent="0.3"/>
    <row r="2678" ht="25.5" customHeight="1" x14ac:dyDescent="0.3"/>
    <row r="2679" ht="25.5" customHeight="1" x14ac:dyDescent="0.3"/>
    <row r="2680" ht="25.5" customHeight="1" x14ac:dyDescent="0.3"/>
    <row r="2681" ht="25.5" customHeight="1" x14ac:dyDescent="0.3"/>
    <row r="2682" ht="25.5" customHeight="1" x14ac:dyDescent="0.3"/>
    <row r="2683" ht="25.5" customHeight="1" x14ac:dyDescent="0.3"/>
    <row r="2684" ht="25.5" customHeight="1" x14ac:dyDescent="0.3"/>
    <row r="2685" ht="25.5" customHeight="1" x14ac:dyDescent="0.3"/>
    <row r="2686" ht="25.5" customHeight="1" x14ac:dyDescent="0.3"/>
    <row r="2687" ht="25.5" customHeight="1" x14ac:dyDescent="0.3"/>
    <row r="2688" ht="25.5" customHeight="1" x14ac:dyDescent="0.3"/>
    <row r="2689" ht="25.5" customHeight="1" x14ac:dyDescent="0.3"/>
    <row r="2690" ht="25.5" customHeight="1" x14ac:dyDescent="0.3"/>
    <row r="2691" ht="25.5" customHeight="1" x14ac:dyDescent="0.3"/>
    <row r="2692" ht="25.5" customHeight="1" x14ac:dyDescent="0.3"/>
    <row r="2693" ht="25.5" customHeight="1" x14ac:dyDescent="0.3"/>
    <row r="2694" ht="25.5" customHeight="1" x14ac:dyDescent="0.3"/>
    <row r="2695" ht="25.5" customHeight="1" x14ac:dyDescent="0.3"/>
    <row r="2696" ht="25.5" customHeight="1" x14ac:dyDescent="0.3"/>
    <row r="2697" ht="25.5" customHeight="1" x14ac:dyDescent="0.3"/>
    <row r="2698" ht="25.5" customHeight="1" x14ac:dyDescent="0.3"/>
    <row r="2699" ht="25.5" customHeight="1" x14ac:dyDescent="0.3"/>
    <row r="2700" ht="25.5" customHeight="1" x14ac:dyDescent="0.3"/>
    <row r="2701" ht="25.5" customHeight="1" x14ac:dyDescent="0.3"/>
    <row r="2702" ht="25.5" customHeight="1" x14ac:dyDescent="0.3"/>
    <row r="2703" ht="25.5" customHeight="1" x14ac:dyDescent="0.3"/>
    <row r="2704" ht="25.5" customHeight="1" x14ac:dyDescent="0.3"/>
    <row r="2705" ht="25.5" customHeight="1" x14ac:dyDescent="0.3"/>
    <row r="2706" ht="25.5" customHeight="1" x14ac:dyDescent="0.3"/>
    <row r="2707" ht="25.5" customHeight="1" x14ac:dyDescent="0.3"/>
    <row r="2708" ht="25.5" customHeight="1" x14ac:dyDescent="0.3"/>
    <row r="2709" ht="25.5" customHeight="1" x14ac:dyDescent="0.3"/>
    <row r="2710" ht="25.5" customHeight="1" x14ac:dyDescent="0.3"/>
    <row r="2711" ht="25.5" customHeight="1" x14ac:dyDescent="0.3"/>
    <row r="2712" ht="25.5" customHeight="1" x14ac:dyDescent="0.3"/>
    <row r="2713" ht="25.5" customHeight="1" x14ac:dyDescent="0.3"/>
    <row r="2714" ht="25.5" customHeight="1" x14ac:dyDescent="0.3"/>
    <row r="2715" ht="25.5" customHeight="1" x14ac:dyDescent="0.3"/>
    <row r="2716" ht="25.5" customHeight="1" x14ac:dyDescent="0.3"/>
    <row r="2717" ht="25.5" customHeight="1" x14ac:dyDescent="0.3"/>
    <row r="2718" ht="25.5" customHeight="1" x14ac:dyDescent="0.3"/>
    <row r="2719" ht="25.5" customHeight="1" x14ac:dyDescent="0.3"/>
    <row r="2720" ht="25.5" customHeight="1" x14ac:dyDescent="0.3"/>
    <row r="2721" ht="25.5" customHeight="1" x14ac:dyDescent="0.3"/>
    <row r="2722" ht="25.5" customHeight="1" x14ac:dyDescent="0.3"/>
    <row r="2723" ht="25.5" customHeight="1" x14ac:dyDescent="0.3"/>
    <row r="2724" ht="25.5" customHeight="1" x14ac:dyDescent="0.3"/>
    <row r="2725" ht="25.5" customHeight="1" x14ac:dyDescent="0.3"/>
    <row r="2726" ht="25.5" customHeight="1" x14ac:dyDescent="0.3"/>
    <row r="2727" ht="25.5" customHeight="1" x14ac:dyDescent="0.3"/>
    <row r="2728" ht="25.5" customHeight="1" x14ac:dyDescent="0.3"/>
    <row r="2729" ht="25.5" customHeight="1" x14ac:dyDescent="0.3"/>
    <row r="2730" ht="25.5" customHeight="1" x14ac:dyDescent="0.3"/>
    <row r="2731" ht="25.5" customHeight="1" x14ac:dyDescent="0.3"/>
    <row r="2732" ht="25.5" customHeight="1" x14ac:dyDescent="0.3"/>
    <row r="2733" ht="25.5" customHeight="1" x14ac:dyDescent="0.3"/>
    <row r="2734" ht="25.5" customHeight="1" x14ac:dyDescent="0.3"/>
    <row r="2735" ht="25.5" customHeight="1" x14ac:dyDescent="0.3"/>
    <row r="2736" ht="25.5" customHeight="1" x14ac:dyDescent="0.3"/>
    <row r="2737" ht="25.5" customHeight="1" x14ac:dyDescent="0.3"/>
    <row r="2738" ht="25.5" customHeight="1" x14ac:dyDescent="0.3"/>
    <row r="2739" ht="25.5" customHeight="1" x14ac:dyDescent="0.3"/>
    <row r="2740" ht="25.5" customHeight="1" x14ac:dyDescent="0.3"/>
    <row r="2741" ht="25.5" customHeight="1" x14ac:dyDescent="0.3"/>
    <row r="2742" ht="25.5" customHeight="1" x14ac:dyDescent="0.3"/>
    <row r="2743" ht="25.5" customHeight="1" x14ac:dyDescent="0.3"/>
    <row r="2744" ht="25.5" customHeight="1" x14ac:dyDescent="0.3"/>
    <row r="2745" ht="25.5" customHeight="1" x14ac:dyDescent="0.3"/>
    <row r="2746" ht="25.5" customHeight="1" x14ac:dyDescent="0.3"/>
    <row r="2747" ht="25.5" customHeight="1" x14ac:dyDescent="0.3"/>
    <row r="2748" ht="25.5" customHeight="1" x14ac:dyDescent="0.3"/>
    <row r="2749" ht="25.5" customHeight="1" x14ac:dyDescent="0.3"/>
    <row r="2750" ht="25.5" customHeight="1" x14ac:dyDescent="0.3"/>
    <row r="2751" ht="25.5" customHeight="1" x14ac:dyDescent="0.3"/>
    <row r="2752" ht="25.5" customHeight="1" x14ac:dyDescent="0.3"/>
    <row r="2753" ht="25.5" customHeight="1" x14ac:dyDescent="0.3"/>
    <row r="2754" ht="25.5" customHeight="1" x14ac:dyDescent="0.3"/>
    <row r="2755" ht="25.5" customHeight="1" x14ac:dyDescent="0.3"/>
    <row r="2756" ht="25.5" customHeight="1" x14ac:dyDescent="0.3"/>
    <row r="2757" ht="25.5" customHeight="1" x14ac:dyDescent="0.3"/>
    <row r="2758" ht="25.5" customHeight="1" x14ac:dyDescent="0.3"/>
    <row r="2759" ht="25.5" customHeight="1" x14ac:dyDescent="0.3"/>
    <row r="2760" ht="25.5" customHeight="1" x14ac:dyDescent="0.3"/>
    <row r="2761" ht="25.5" customHeight="1" x14ac:dyDescent="0.3"/>
    <row r="2762" ht="25.5" customHeight="1" x14ac:dyDescent="0.3"/>
    <row r="2763" ht="25.5" customHeight="1" x14ac:dyDescent="0.3"/>
    <row r="2764" ht="25.5" customHeight="1" x14ac:dyDescent="0.3"/>
    <row r="2765" ht="25.5" customHeight="1" x14ac:dyDescent="0.3"/>
    <row r="2766" ht="25.5" customHeight="1" x14ac:dyDescent="0.3"/>
    <row r="2767" ht="25.5" customHeight="1" x14ac:dyDescent="0.3"/>
    <row r="2768" ht="25.5" customHeight="1" x14ac:dyDescent="0.3"/>
    <row r="2769" ht="25.5" customHeight="1" x14ac:dyDescent="0.3"/>
    <row r="2770" ht="25.5" customHeight="1" x14ac:dyDescent="0.3"/>
    <row r="2771" ht="25.5" customHeight="1" x14ac:dyDescent="0.3"/>
    <row r="2772" ht="25.5" customHeight="1" x14ac:dyDescent="0.3"/>
    <row r="2773" ht="25.5" customHeight="1" x14ac:dyDescent="0.3"/>
    <row r="2774" ht="25.5" customHeight="1" x14ac:dyDescent="0.3"/>
    <row r="2775" ht="25.5" customHeight="1" x14ac:dyDescent="0.3"/>
    <row r="2776" ht="25.5" customHeight="1" x14ac:dyDescent="0.3"/>
    <row r="2777" ht="25.5" customHeight="1" x14ac:dyDescent="0.3"/>
    <row r="2778" ht="25.5" customHeight="1" x14ac:dyDescent="0.3"/>
    <row r="2779" ht="25.5" customHeight="1" x14ac:dyDescent="0.3"/>
    <row r="2780" ht="25.5" customHeight="1" x14ac:dyDescent="0.3"/>
    <row r="2781" ht="25.5" customHeight="1" x14ac:dyDescent="0.3"/>
    <row r="2782" ht="25.5" customHeight="1" x14ac:dyDescent="0.3"/>
    <row r="2783" ht="25.5" customHeight="1" x14ac:dyDescent="0.3"/>
    <row r="2784" ht="25.5" customHeight="1" x14ac:dyDescent="0.3"/>
    <row r="2785" ht="25.5" customHeight="1" x14ac:dyDescent="0.3"/>
    <row r="2786" ht="25.5" customHeight="1" x14ac:dyDescent="0.3"/>
    <row r="2787" ht="25.5" customHeight="1" x14ac:dyDescent="0.3"/>
    <row r="2788" ht="25.5" customHeight="1" x14ac:dyDescent="0.3"/>
    <row r="2789" ht="25.5" customHeight="1" x14ac:dyDescent="0.3"/>
    <row r="2790" ht="25.5" customHeight="1" x14ac:dyDescent="0.3"/>
    <row r="2791" ht="25.5" customHeight="1" x14ac:dyDescent="0.3"/>
    <row r="2792" ht="25.5" customHeight="1" x14ac:dyDescent="0.3"/>
    <row r="2793" ht="25.5" customHeight="1" x14ac:dyDescent="0.3"/>
    <row r="2794" ht="25.5" customHeight="1" x14ac:dyDescent="0.3"/>
    <row r="2795" ht="25.5" customHeight="1" x14ac:dyDescent="0.3"/>
    <row r="2796" ht="25.5" customHeight="1" x14ac:dyDescent="0.3"/>
    <row r="2797" ht="25.5" customHeight="1" x14ac:dyDescent="0.3"/>
    <row r="2798" ht="25.5" customHeight="1" x14ac:dyDescent="0.3"/>
    <row r="2799" ht="25.5" customHeight="1" x14ac:dyDescent="0.3"/>
    <row r="2800" ht="25.5" customHeight="1" x14ac:dyDescent="0.3"/>
    <row r="2801" ht="25.5" customHeight="1" x14ac:dyDescent="0.3"/>
    <row r="2802" ht="25.5" customHeight="1" x14ac:dyDescent="0.3"/>
    <row r="2803" ht="25.5" customHeight="1" x14ac:dyDescent="0.3"/>
    <row r="2804" ht="25.5" customHeight="1" x14ac:dyDescent="0.3"/>
    <row r="2805" ht="25.5" customHeight="1" x14ac:dyDescent="0.3"/>
    <row r="2806" ht="25.5" customHeight="1" x14ac:dyDescent="0.3"/>
    <row r="2807" ht="25.5" customHeight="1" x14ac:dyDescent="0.3"/>
    <row r="2808" ht="25.5" customHeight="1" x14ac:dyDescent="0.3"/>
    <row r="2809" ht="25.5" customHeight="1" x14ac:dyDescent="0.3"/>
    <row r="2810" ht="25.5" customHeight="1" x14ac:dyDescent="0.3"/>
    <row r="2811" ht="25.5" customHeight="1" x14ac:dyDescent="0.3"/>
    <row r="2812" ht="25.5" customHeight="1" x14ac:dyDescent="0.3"/>
    <row r="2813" ht="25.5" customHeight="1" x14ac:dyDescent="0.3"/>
    <row r="2814" ht="25.5" customHeight="1" x14ac:dyDescent="0.3"/>
    <row r="2815" ht="25.5" customHeight="1" x14ac:dyDescent="0.3"/>
    <row r="2816" ht="25.5" customHeight="1" x14ac:dyDescent="0.3"/>
    <row r="2817" ht="25.5" customHeight="1" x14ac:dyDescent="0.3"/>
    <row r="2818" ht="25.5" customHeight="1" x14ac:dyDescent="0.3"/>
    <row r="2819" ht="25.5" customHeight="1" x14ac:dyDescent="0.3"/>
    <row r="2820" ht="25.5" customHeight="1" x14ac:dyDescent="0.3"/>
    <row r="2821" ht="25.5" customHeight="1" x14ac:dyDescent="0.3"/>
    <row r="2822" ht="25.5" customHeight="1" x14ac:dyDescent="0.3"/>
    <row r="2823" ht="25.5" customHeight="1" x14ac:dyDescent="0.3"/>
    <row r="2824" ht="25.5" customHeight="1" x14ac:dyDescent="0.3"/>
    <row r="2825" ht="25.5" customHeight="1" x14ac:dyDescent="0.3"/>
    <row r="2826" ht="25.5" customHeight="1" x14ac:dyDescent="0.3"/>
    <row r="2827" ht="25.5" customHeight="1" x14ac:dyDescent="0.3"/>
    <row r="2828" ht="25.5" customHeight="1" x14ac:dyDescent="0.3"/>
    <row r="2829" ht="25.5" customHeight="1" x14ac:dyDescent="0.3"/>
    <row r="2830" ht="25.5" customHeight="1" x14ac:dyDescent="0.3"/>
    <row r="2831" ht="25.5" customHeight="1" x14ac:dyDescent="0.3"/>
    <row r="2832" ht="25.5" customHeight="1" x14ac:dyDescent="0.3"/>
    <row r="2833" ht="25.5" customHeight="1" x14ac:dyDescent="0.3"/>
    <row r="2834" ht="25.5" customHeight="1" x14ac:dyDescent="0.3"/>
    <row r="2835" ht="25.5" customHeight="1" x14ac:dyDescent="0.3"/>
    <row r="2836" ht="25.5" customHeight="1" x14ac:dyDescent="0.3"/>
    <row r="2837" ht="25.5" customHeight="1" x14ac:dyDescent="0.3"/>
    <row r="2838" ht="25.5" customHeight="1" x14ac:dyDescent="0.3"/>
    <row r="2839" ht="25.5" customHeight="1" x14ac:dyDescent="0.3"/>
    <row r="2840" ht="25.5" customHeight="1" x14ac:dyDescent="0.3"/>
    <row r="2841" ht="25.5" customHeight="1" x14ac:dyDescent="0.3"/>
    <row r="2842" ht="25.5" customHeight="1" x14ac:dyDescent="0.3"/>
    <row r="2843" ht="25.5" customHeight="1" x14ac:dyDescent="0.3"/>
    <row r="2844" ht="25.5" customHeight="1" x14ac:dyDescent="0.3"/>
    <row r="2845" ht="25.5" customHeight="1" x14ac:dyDescent="0.3"/>
    <row r="2846" ht="25.5" customHeight="1" x14ac:dyDescent="0.3"/>
    <row r="2847" ht="25.5" customHeight="1" x14ac:dyDescent="0.3"/>
    <row r="2848" ht="25.5" customHeight="1" x14ac:dyDescent="0.3"/>
    <row r="2849" ht="25.5" customHeight="1" x14ac:dyDescent="0.3"/>
    <row r="2850" ht="25.5" customHeight="1" x14ac:dyDescent="0.3"/>
    <row r="2851" ht="25.5" customHeight="1" x14ac:dyDescent="0.3"/>
    <row r="2852" ht="25.5" customHeight="1" x14ac:dyDescent="0.3"/>
    <row r="2853" ht="25.5" customHeight="1" x14ac:dyDescent="0.3"/>
    <row r="2854" ht="25.5" customHeight="1" x14ac:dyDescent="0.3"/>
    <row r="2855" ht="25.5" customHeight="1" x14ac:dyDescent="0.3"/>
    <row r="2856" ht="25.5" customHeight="1" x14ac:dyDescent="0.3"/>
    <row r="2857" ht="25.5" customHeight="1" x14ac:dyDescent="0.3"/>
    <row r="2858" ht="25.5" customHeight="1" x14ac:dyDescent="0.3"/>
    <row r="2859" ht="25.5" customHeight="1" x14ac:dyDescent="0.3"/>
    <row r="2860" ht="25.5" customHeight="1" x14ac:dyDescent="0.3"/>
    <row r="2861" ht="25.5" customHeight="1" x14ac:dyDescent="0.3"/>
    <row r="2862" ht="25.5" customHeight="1" x14ac:dyDescent="0.3"/>
    <row r="2863" ht="25.5" customHeight="1" x14ac:dyDescent="0.3"/>
    <row r="2864" ht="25.5" customHeight="1" x14ac:dyDescent="0.3"/>
    <row r="2865" ht="25.5" customHeight="1" x14ac:dyDescent="0.3"/>
    <row r="2866" ht="25.5" customHeight="1" x14ac:dyDescent="0.3"/>
    <row r="2867" ht="25.5" customHeight="1" x14ac:dyDescent="0.3"/>
    <row r="2868" ht="25.5" customHeight="1" x14ac:dyDescent="0.3"/>
    <row r="2869" ht="25.5" customHeight="1" x14ac:dyDescent="0.3"/>
    <row r="2870" ht="25.5" customHeight="1" x14ac:dyDescent="0.3"/>
    <row r="2871" ht="25.5" customHeight="1" x14ac:dyDescent="0.3"/>
    <row r="2872" ht="25.5" customHeight="1" x14ac:dyDescent="0.3"/>
    <row r="2873" ht="25.5" customHeight="1" x14ac:dyDescent="0.3"/>
    <row r="2874" ht="25.5" customHeight="1" x14ac:dyDescent="0.3"/>
    <row r="2875" ht="25.5" customHeight="1" x14ac:dyDescent="0.3"/>
    <row r="2876" ht="25.5" customHeight="1" x14ac:dyDescent="0.3"/>
    <row r="2877" ht="25.5" customHeight="1" x14ac:dyDescent="0.3"/>
    <row r="2878" ht="25.5" customHeight="1" x14ac:dyDescent="0.3"/>
    <row r="2879" ht="25.5" customHeight="1" x14ac:dyDescent="0.3"/>
    <row r="2880" ht="25.5" customHeight="1" x14ac:dyDescent="0.3"/>
    <row r="2881" ht="25.5" customHeight="1" x14ac:dyDescent="0.3"/>
    <row r="2882" ht="25.5" customHeight="1" x14ac:dyDescent="0.3"/>
    <row r="2883" ht="25.5" customHeight="1" x14ac:dyDescent="0.3"/>
    <row r="2884" ht="25.5" customHeight="1" x14ac:dyDescent="0.3"/>
    <row r="2885" ht="25.5" customHeight="1" x14ac:dyDescent="0.3"/>
    <row r="2886" ht="25.5" customHeight="1" x14ac:dyDescent="0.3"/>
    <row r="2887" ht="25.5" customHeight="1" x14ac:dyDescent="0.3"/>
    <row r="2888" ht="25.5" customHeight="1" x14ac:dyDescent="0.3"/>
    <row r="2889" ht="25.5" customHeight="1" x14ac:dyDescent="0.3"/>
    <row r="2890" ht="25.5" customHeight="1" x14ac:dyDescent="0.3"/>
    <row r="2891" ht="25.5" customHeight="1" x14ac:dyDescent="0.3"/>
    <row r="2892" ht="25.5" customHeight="1" x14ac:dyDescent="0.3"/>
    <row r="2893" ht="25.5" customHeight="1" x14ac:dyDescent="0.3"/>
    <row r="2894" ht="25.5" customHeight="1" x14ac:dyDescent="0.3"/>
    <row r="2895" ht="25.5" customHeight="1" x14ac:dyDescent="0.3"/>
    <row r="2896" ht="25.5" customHeight="1" x14ac:dyDescent="0.3"/>
    <row r="2897" ht="25.5" customHeight="1" x14ac:dyDescent="0.3"/>
    <row r="2898" ht="25.5" customHeight="1" x14ac:dyDescent="0.3"/>
    <row r="2899" ht="25.5" customHeight="1" x14ac:dyDescent="0.3"/>
    <row r="2900" ht="25.5" customHeight="1" x14ac:dyDescent="0.3"/>
    <row r="2901" ht="25.5" customHeight="1" x14ac:dyDescent="0.3"/>
    <row r="2902" ht="25.5" customHeight="1" x14ac:dyDescent="0.3"/>
    <row r="2903" ht="25.5" customHeight="1" x14ac:dyDescent="0.3"/>
    <row r="2904" ht="25.5" customHeight="1" x14ac:dyDescent="0.3"/>
    <row r="2905" ht="25.5" customHeight="1" x14ac:dyDescent="0.3"/>
    <row r="2906" ht="25.5" customHeight="1" x14ac:dyDescent="0.3"/>
    <row r="2907" ht="25.5" customHeight="1" x14ac:dyDescent="0.3"/>
    <row r="2908" ht="25.5" customHeight="1" x14ac:dyDescent="0.3"/>
    <row r="2909" ht="25.5" customHeight="1" x14ac:dyDescent="0.3"/>
    <row r="2910" ht="25.5" customHeight="1" x14ac:dyDescent="0.3"/>
    <row r="2911" ht="25.5" customHeight="1" x14ac:dyDescent="0.3"/>
    <row r="2912" ht="25.5" customHeight="1" x14ac:dyDescent="0.3"/>
    <row r="2913" ht="25.5" customHeight="1" x14ac:dyDescent="0.3"/>
    <row r="2914" ht="25.5" customHeight="1" x14ac:dyDescent="0.3"/>
    <row r="2915" ht="25.5" customHeight="1" x14ac:dyDescent="0.3"/>
    <row r="2916" ht="25.5" customHeight="1" x14ac:dyDescent="0.3"/>
    <row r="2917" ht="25.5" customHeight="1" x14ac:dyDescent="0.3"/>
    <row r="2918" ht="25.5" customHeight="1" x14ac:dyDescent="0.3"/>
    <row r="2919" ht="25.5" customHeight="1" x14ac:dyDescent="0.3"/>
    <row r="2920" ht="25.5" customHeight="1" x14ac:dyDescent="0.3"/>
    <row r="2921" ht="25.5" customHeight="1" x14ac:dyDescent="0.3"/>
    <row r="2922" ht="25.5" customHeight="1" x14ac:dyDescent="0.3"/>
    <row r="2923" ht="25.5" customHeight="1" x14ac:dyDescent="0.3"/>
    <row r="2924" ht="25.5" customHeight="1" x14ac:dyDescent="0.3"/>
    <row r="2925" ht="25.5" customHeight="1" x14ac:dyDescent="0.3"/>
    <row r="2926" ht="25.5" customHeight="1" x14ac:dyDescent="0.3"/>
    <row r="2927" ht="25.5" customHeight="1" x14ac:dyDescent="0.3"/>
    <row r="2928" ht="25.5" customHeight="1" x14ac:dyDescent="0.3"/>
    <row r="2929" ht="25.5" customHeight="1" x14ac:dyDescent="0.3"/>
    <row r="2930" ht="25.5" customHeight="1" x14ac:dyDescent="0.3"/>
    <row r="2931" ht="25.5" customHeight="1" x14ac:dyDescent="0.3"/>
    <row r="2932" ht="25.5" customHeight="1" x14ac:dyDescent="0.3"/>
    <row r="2933" ht="25.5" customHeight="1" x14ac:dyDescent="0.3"/>
    <row r="2934" ht="25.5" customHeight="1" x14ac:dyDescent="0.3"/>
    <row r="2935" ht="25.5" customHeight="1" x14ac:dyDescent="0.3"/>
    <row r="2936" ht="25.5" customHeight="1" x14ac:dyDescent="0.3"/>
    <row r="2937" ht="25.5" customHeight="1" x14ac:dyDescent="0.3"/>
    <row r="2938" ht="25.5" customHeight="1" x14ac:dyDescent="0.3"/>
    <row r="2939" ht="25.5" customHeight="1" x14ac:dyDescent="0.3"/>
    <row r="2940" ht="25.5" customHeight="1" x14ac:dyDescent="0.3"/>
    <row r="2941" ht="25.5" customHeight="1" x14ac:dyDescent="0.3"/>
    <row r="2942" ht="25.5" customHeight="1" x14ac:dyDescent="0.3"/>
    <row r="2943" ht="25.5" customHeight="1" x14ac:dyDescent="0.3"/>
    <row r="2944" ht="25.5" customHeight="1" x14ac:dyDescent="0.3"/>
    <row r="2945" ht="25.5" customHeight="1" x14ac:dyDescent="0.3"/>
    <row r="2946" ht="25.5" customHeight="1" x14ac:dyDescent="0.3"/>
    <row r="2947" ht="25.5" customHeight="1" x14ac:dyDescent="0.3"/>
    <row r="2948" ht="25.5" customHeight="1" x14ac:dyDescent="0.3"/>
    <row r="2949" ht="25.5" customHeight="1" x14ac:dyDescent="0.3"/>
    <row r="2950" ht="25.5" customHeight="1" x14ac:dyDescent="0.3"/>
    <row r="2951" ht="25.5" customHeight="1" x14ac:dyDescent="0.3"/>
    <row r="2952" ht="25.5" customHeight="1" x14ac:dyDescent="0.3"/>
    <row r="2953" ht="25.5" customHeight="1" x14ac:dyDescent="0.3"/>
    <row r="2954" ht="25.5" customHeight="1" x14ac:dyDescent="0.3"/>
    <row r="2955" ht="25.5" customHeight="1" x14ac:dyDescent="0.3"/>
    <row r="2956" ht="25.5" customHeight="1" x14ac:dyDescent="0.3"/>
    <row r="2957" ht="25.5" customHeight="1" x14ac:dyDescent="0.3"/>
    <row r="2958" ht="25.5" customHeight="1" x14ac:dyDescent="0.3"/>
    <row r="2959" ht="25.5" customHeight="1" x14ac:dyDescent="0.3"/>
    <row r="2960" ht="25.5" customHeight="1" x14ac:dyDescent="0.3"/>
    <row r="2961" ht="25.5" customHeight="1" x14ac:dyDescent="0.3"/>
    <row r="2962" ht="25.5" customHeight="1" x14ac:dyDescent="0.3"/>
    <row r="2963" ht="25.5" customHeight="1" x14ac:dyDescent="0.3"/>
    <row r="2964" ht="25.5" customHeight="1" x14ac:dyDescent="0.3"/>
    <row r="2965" ht="25.5" customHeight="1" x14ac:dyDescent="0.3"/>
    <row r="2966" ht="25.5" customHeight="1" x14ac:dyDescent="0.3"/>
    <row r="2967" ht="25.5" customHeight="1" x14ac:dyDescent="0.3"/>
    <row r="2968" ht="25.5" customHeight="1" x14ac:dyDescent="0.3"/>
    <row r="2969" ht="25.5" customHeight="1" x14ac:dyDescent="0.3"/>
    <row r="2970" ht="25.5" customHeight="1" x14ac:dyDescent="0.3"/>
    <row r="2971" ht="25.5" customHeight="1" x14ac:dyDescent="0.3"/>
    <row r="2972" ht="25.5" customHeight="1" x14ac:dyDescent="0.3"/>
    <row r="2973" ht="25.5" customHeight="1" x14ac:dyDescent="0.3"/>
    <row r="2974" ht="25.5" customHeight="1" x14ac:dyDescent="0.3"/>
    <row r="2975" ht="25.5" customHeight="1" x14ac:dyDescent="0.3"/>
    <row r="2976" ht="25.5" customHeight="1" x14ac:dyDescent="0.3"/>
    <row r="2977" ht="25.5" customHeight="1" x14ac:dyDescent="0.3"/>
    <row r="2978" ht="25.5" customHeight="1" x14ac:dyDescent="0.3"/>
    <row r="2979" ht="25.5" customHeight="1" x14ac:dyDescent="0.3"/>
    <row r="2980" ht="25.5" customHeight="1" x14ac:dyDescent="0.3"/>
    <row r="2981" ht="25.5" customHeight="1" x14ac:dyDescent="0.3"/>
    <row r="2982" ht="25.5" customHeight="1" x14ac:dyDescent="0.3"/>
    <row r="2983" ht="25.5" customHeight="1" x14ac:dyDescent="0.3"/>
    <row r="2984" ht="25.5" customHeight="1" x14ac:dyDescent="0.3"/>
    <row r="2985" ht="25.5" customHeight="1" x14ac:dyDescent="0.3"/>
    <row r="2986" ht="25.5" customHeight="1" x14ac:dyDescent="0.3"/>
    <row r="2987" ht="25.5" customHeight="1" x14ac:dyDescent="0.3"/>
    <row r="2988" ht="25.5" customHeight="1" x14ac:dyDescent="0.3"/>
    <row r="2989" ht="25.5" customHeight="1" x14ac:dyDescent="0.3"/>
    <row r="2990" ht="25.5" customHeight="1" x14ac:dyDescent="0.3"/>
    <row r="2991" ht="25.5" customHeight="1" x14ac:dyDescent="0.3"/>
    <row r="2992" ht="25.5" customHeight="1" x14ac:dyDescent="0.3"/>
    <row r="2993" ht="25.5" customHeight="1" x14ac:dyDescent="0.3"/>
    <row r="2994" ht="25.5" customHeight="1" x14ac:dyDescent="0.3"/>
    <row r="2995" ht="25.5" customHeight="1" x14ac:dyDescent="0.3"/>
    <row r="2996" ht="25.5" customHeight="1" x14ac:dyDescent="0.3"/>
    <row r="2997" ht="25.5" customHeight="1" x14ac:dyDescent="0.3"/>
    <row r="2998" ht="25.5" customHeight="1" x14ac:dyDescent="0.3"/>
    <row r="2999" ht="25.5" customHeight="1" x14ac:dyDescent="0.3"/>
    <row r="3000" ht="25.5" customHeight="1" x14ac:dyDescent="0.3"/>
    <row r="3001" ht="25.5" customHeight="1" x14ac:dyDescent="0.3"/>
    <row r="3002" ht="25.5" customHeight="1" x14ac:dyDescent="0.3"/>
    <row r="3003" ht="25.5" customHeight="1" x14ac:dyDescent="0.3"/>
    <row r="3004" ht="25.5" customHeight="1" x14ac:dyDescent="0.3"/>
    <row r="3005" ht="25.5" customHeight="1" x14ac:dyDescent="0.3"/>
    <row r="3006" ht="25.5" customHeight="1" x14ac:dyDescent="0.3"/>
    <row r="3007" ht="25.5" customHeight="1" x14ac:dyDescent="0.3"/>
    <row r="3008" ht="25.5" customHeight="1" x14ac:dyDescent="0.3"/>
    <row r="3009" ht="25.5" customHeight="1" x14ac:dyDescent="0.3"/>
    <row r="3010" ht="25.5" customHeight="1" x14ac:dyDescent="0.3"/>
    <row r="3011" ht="25.5" customHeight="1" x14ac:dyDescent="0.3"/>
    <row r="3012" ht="25.5" customHeight="1" x14ac:dyDescent="0.3"/>
    <row r="3013" ht="25.5" customHeight="1" x14ac:dyDescent="0.3"/>
    <row r="3014" ht="25.5" customHeight="1" x14ac:dyDescent="0.3"/>
    <row r="3015" ht="25.5" customHeight="1" x14ac:dyDescent="0.3"/>
    <row r="3016" ht="25.5" customHeight="1" x14ac:dyDescent="0.3"/>
    <row r="3017" ht="25.5" customHeight="1" x14ac:dyDescent="0.3"/>
    <row r="3018" ht="25.5" customHeight="1" x14ac:dyDescent="0.3"/>
    <row r="3019" ht="25.5" customHeight="1" x14ac:dyDescent="0.3"/>
    <row r="3020" ht="25.5" customHeight="1" x14ac:dyDescent="0.3"/>
    <row r="3021" ht="25.5" customHeight="1" x14ac:dyDescent="0.3"/>
    <row r="3022" ht="25.5" customHeight="1" x14ac:dyDescent="0.3"/>
    <row r="3023" ht="25.5" customHeight="1" x14ac:dyDescent="0.3"/>
    <row r="3024" ht="25.5" customHeight="1" x14ac:dyDescent="0.3"/>
    <row r="3025" ht="25.5" customHeight="1" x14ac:dyDescent="0.3"/>
    <row r="3026" ht="25.5" customHeight="1" x14ac:dyDescent="0.3"/>
    <row r="3027" ht="25.5" customHeight="1" x14ac:dyDescent="0.3"/>
    <row r="3028" ht="25.5" customHeight="1" x14ac:dyDescent="0.3"/>
    <row r="3029" ht="25.5" customHeight="1" x14ac:dyDescent="0.3"/>
    <row r="3030" ht="25.5" customHeight="1" x14ac:dyDescent="0.3"/>
    <row r="3031" ht="25.5" customHeight="1" x14ac:dyDescent="0.3"/>
    <row r="3032" ht="25.5" customHeight="1" x14ac:dyDescent="0.3"/>
    <row r="3033" ht="25.5" customHeight="1" x14ac:dyDescent="0.3"/>
    <row r="3034" ht="25.5" customHeight="1" x14ac:dyDescent="0.3"/>
    <row r="3035" ht="25.5" customHeight="1" x14ac:dyDescent="0.3"/>
    <row r="3036" ht="25.5" customHeight="1" x14ac:dyDescent="0.3"/>
    <row r="3037" ht="25.5" customHeight="1" x14ac:dyDescent="0.3"/>
    <row r="3038" ht="25.5" customHeight="1" x14ac:dyDescent="0.3"/>
    <row r="3039" ht="25.5" customHeight="1" x14ac:dyDescent="0.3"/>
    <row r="3040" ht="25.5" customHeight="1" x14ac:dyDescent="0.3"/>
    <row r="3041" ht="25.5" customHeight="1" x14ac:dyDescent="0.3"/>
    <row r="3042" ht="25.5" customHeight="1" x14ac:dyDescent="0.3"/>
    <row r="3043" ht="25.5" customHeight="1" x14ac:dyDescent="0.3"/>
    <row r="3044" ht="25.5" customHeight="1" x14ac:dyDescent="0.3"/>
    <row r="3045" ht="25.5" customHeight="1" x14ac:dyDescent="0.3"/>
    <row r="3046" ht="25.5" customHeight="1" x14ac:dyDescent="0.3"/>
    <row r="3047" ht="25.5" customHeight="1" x14ac:dyDescent="0.3"/>
    <row r="3048" ht="25.5" customHeight="1" x14ac:dyDescent="0.3"/>
    <row r="3049" ht="25.5" customHeight="1" x14ac:dyDescent="0.3"/>
    <row r="3050" ht="25.5" customHeight="1" x14ac:dyDescent="0.3"/>
    <row r="3051" ht="25.5" customHeight="1" x14ac:dyDescent="0.3"/>
    <row r="3052" ht="25.5" customHeight="1" x14ac:dyDescent="0.3"/>
    <row r="3053" ht="25.5" customHeight="1" x14ac:dyDescent="0.3"/>
    <row r="3054" ht="25.5" customHeight="1" x14ac:dyDescent="0.3"/>
    <row r="3055" ht="25.5" customHeight="1" x14ac:dyDescent="0.3"/>
    <row r="3056" ht="25.5" customHeight="1" x14ac:dyDescent="0.3"/>
    <row r="3057" ht="25.5" customHeight="1" x14ac:dyDescent="0.3"/>
    <row r="3058" ht="25.5" customHeight="1" x14ac:dyDescent="0.3"/>
    <row r="3059" ht="25.5" customHeight="1" x14ac:dyDescent="0.3"/>
    <row r="3060" ht="25.5" customHeight="1" x14ac:dyDescent="0.3"/>
    <row r="3061" ht="25.5" customHeight="1" x14ac:dyDescent="0.3"/>
    <row r="3062" ht="25.5" customHeight="1" x14ac:dyDescent="0.3"/>
    <row r="3063" ht="25.5" customHeight="1" x14ac:dyDescent="0.3"/>
    <row r="3064" ht="25.5" customHeight="1" x14ac:dyDescent="0.3"/>
    <row r="3065" ht="25.5" customHeight="1" x14ac:dyDescent="0.3"/>
    <row r="3066" ht="25.5" customHeight="1" x14ac:dyDescent="0.3"/>
    <row r="3067" ht="25.5" customHeight="1" x14ac:dyDescent="0.3"/>
    <row r="3068" ht="25.5" customHeight="1" x14ac:dyDescent="0.3"/>
    <row r="3069" ht="25.5" customHeight="1" x14ac:dyDescent="0.3"/>
    <row r="3070" ht="25.5" customHeight="1" x14ac:dyDescent="0.3"/>
    <row r="3071" ht="25.5" customHeight="1" x14ac:dyDescent="0.3"/>
    <row r="3072" ht="25.5" customHeight="1" x14ac:dyDescent="0.3"/>
    <row r="3073" ht="25.5" customHeight="1" x14ac:dyDescent="0.3"/>
    <row r="3074" ht="25.5" customHeight="1" x14ac:dyDescent="0.3"/>
    <row r="3075" ht="25.5" customHeight="1" x14ac:dyDescent="0.3"/>
    <row r="3076" ht="25.5" customHeight="1" x14ac:dyDescent="0.3"/>
    <row r="3077" ht="25.5" customHeight="1" x14ac:dyDescent="0.3"/>
    <row r="3078" ht="25.5" customHeight="1" x14ac:dyDescent="0.3"/>
    <row r="3079" ht="25.5" customHeight="1" x14ac:dyDescent="0.3"/>
    <row r="3080" ht="25.5" customHeight="1" x14ac:dyDescent="0.3"/>
    <row r="3081" ht="25.5" customHeight="1" x14ac:dyDescent="0.3"/>
    <row r="3082" ht="25.5" customHeight="1" x14ac:dyDescent="0.3"/>
    <row r="3083" ht="25.5" customHeight="1" x14ac:dyDescent="0.3"/>
    <row r="3084" ht="25.5" customHeight="1" x14ac:dyDescent="0.3"/>
    <row r="3085" ht="25.5" customHeight="1" x14ac:dyDescent="0.3"/>
    <row r="3086" ht="25.5" customHeight="1" x14ac:dyDescent="0.3"/>
    <row r="3087" ht="25.5" customHeight="1" x14ac:dyDescent="0.3"/>
    <row r="3088" ht="25.5" customHeight="1" x14ac:dyDescent="0.3"/>
    <row r="3089" ht="25.5" customHeight="1" x14ac:dyDescent="0.3"/>
    <row r="3090" ht="25.5" customHeight="1" x14ac:dyDescent="0.3"/>
    <row r="3091" ht="25.5" customHeight="1" x14ac:dyDescent="0.3"/>
    <row r="3092" ht="25.5" customHeight="1" x14ac:dyDescent="0.3"/>
    <row r="3093" ht="25.5" customHeight="1" x14ac:dyDescent="0.3"/>
    <row r="3094" ht="25.5" customHeight="1" x14ac:dyDescent="0.3"/>
    <row r="3095" ht="25.5" customHeight="1" x14ac:dyDescent="0.3"/>
    <row r="3096" ht="25.5" customHeight="1" x14ac:dyDescent="0.3"/>
    <row r="3097" ht="25.5" customHeight="1" x14ac:dyDescent="0.3"/>
    <row r="3098" ht="25.5" customHeight="1" x14ac:dyDescent="0.3"/>
    <row r="3099" ht="25.5" customHeight="1" x14ac:dyDescent="0.3"/>
    <row r="3100" ht="25.5" customHeight="1" x14ac:dyDescent="0.3"/>
    <row r="3101" ht="25.5" customHeight="1" x14ac:dyDescent="0.3"/>
    <row r="3102" ht="25.5" customHeight="1" x14ac:dyDescent="0.3"/>
    <row r="3103" ht="25.5" customHeight="1" x14ac:dyDescent="0.3"/>
    <row r="3104" ht="25.5" customHeight="1" x14ac:dyDescent="0.3"/>
    <row r="3105" ht="25.5" customHeight="1" x14ac:dyDescent="0.3"/>
    <row r="3106" ht="25.5" customHeight="1" x14ac:dyDescent="0.3"/>
    <row r="3107" ht="25.5" customHeight="1" x14ac:dyDescent="0.3"/>
    <row r="3108" ht="25.5" customHeight="1" x14ac:dyDescent="0.3"/>
    <row r="3109" ht="25.5" customHeight="1" x14ac:dyDescent="0.3"/>
    <row r="3110" ht="25.5" customHeight="1" x14ac:dyDescent="0.3"/>
    <row r="3111" ht="25.5" customHeight="1" x14ac:dyDescent="0.3"/>
    <row r="3112" ht="25.5" customHeight="1" x14ac:dyDescent="0.3"/>
    <row r="3113" ht="25.5" customHeight="1" x14ac:dyDescent="0.3"/>
    <row r="3114" ht="25.5" customHeight="1" x14ac:dyDescent="0.3"/>
    <row r="3115" ht="25.5" customHeight="1" x14ac:dyDescent="0.3"/>
    <row r="3116" ht="25.5" customHeight="1" x14ac:dyDescent="0.3"/>
    <row r="3117" ht="25.5" customHeight="1" x14ac:dyDescent="0.3"/>
    <row r="3118" ht="25.5" customHeight="1" x14ac:dyDescent="0.3"/>
    <row r="3119" ht="25.5" customHeight="1" x14ac:dyDescent="0.3"/>
    <row r="3120" ht="25.5" customHeight="1" x14ac:dyDescent="0.3"/>
    <row r="3121" ht="25.5" customHeight="1" x14ac:dyDescent="0.3"/>
    <row r="3122" ht="25.5" customHeight="1" x14ac:dyDescent="0.3"/>
    <row r="3123" ht="25.5" customHeight="1" x14ac:dyDescent="0.3"/>
    <row r="3124" ht="25.5" customHeight="1" x14ac:dyDescent="0.3"/>
    <row r="3125" ht="25.5" customHeight="1" x14ac:dyDescent="0.3"/>
    <row r="3126" ht="25.5" customHeight="1" x14ac:dyDescent="0.3"/>
    <row r="3127" ht="25.5" customHeight="1" x14ac:dyDescent="0.3"/>
    <row r="3128" ht="25.5" customHeight="1" x14ac:dyDescent="0.3"/>
    <row r="3129" ht="25.5" customHeight="1" x14ac:dyDescent="0.3"/>
    <row r="3130" ht="25.5" customHeight="1" x14ac:dyDescent="0.3"/>
    <row r="3131" ht="25.5" customHeight="1" x14ac:dyDescent="0.3"/>
    <row r="3132" ht="25.5" customHeight="1" x14ac:dyDescent="0.3"/>
    <row r="3133" ht="25.5" customHeight="1" x14ac:dyDescent="0.3"/>
    <row r="3134" ht="25.5" customHeight="1" x14ac:dyDescent="0.3"/>
    <row r="3135" ht="25.5" customHeight="1" x14ac:dyDescent="0.3"/>
    <row r="3136" ht="25.5" customHeight="1" x14ac:dyDescent="0.3"/>
    <row r="3137" ht="25.5" customHeight="1" x14ac:dyDescent="0.3"/>
    <row r="3138" ht="25.5" customHeight="1" x14ac:dyDescent="0.3"/>
    <row r="3139" ht="25.5" customHeight="1" x14ac:dyDescent="0.3"/>
    <row r="3140" ht="25.5" customHeight="1" x14ac:dyDescent="0.3"/>
    <row r="3141" ht="25.5" customHeight="1" x14ac:dyDescent="0.3"/>
    <row r="3142" ht="25.5" customHeight="1" x14ac:dyDescent="0.3"/>
    <row r="3143" ht="25.5" customHeight="1" x14ac:dyDescent="0.3"/>
    <row r="3144" ht="25.5" customHeight="1" x14ac:dyDescent="0.3"/>
    <row r="3145" ht="25.5" customHeight="1" x14ac:dyDescent="0.3"/>
    <row r="3146" ht="25.5" customHeight="1" x14ac:dyDescent="0.3"/>
    <row r="3147" ht="25.5" customHeight="1" x14ac:dyDescent="0.3"/>
    <row r="3148" ht="25.5" customHeight="1" x14ac:dyDescent="0.3"/>
    <row r="3149" ht="25.5" customHeight="1" x14ac:dyDescent="0.3"/>
    <row r="3150" ht="25.5" customHeight="1" x14ac:dyDescent="0.3"/>
    <row r="3151" ht="25.5" customHeight="1" x14ac:dyDescent="0.3"/>
    <row r="3152" ht="25.5" customHeight="1" x14ac:dyDescent="0.3"/>
    <row r="3153" ht="25.5" customHeight="1" x14ac:dyDescent="0.3"/>
    <row r="3154" ht="25.5" customHeight="1" x14ac:dyDescent="0.3"/>
    <row r="3155" ht="25.5" customHeight="1" x14ac:dyDescent="0.3"/>
    <row r="3156" ht="25.5" customHeight="1" x14ac:dyDescent="0.3"/>
    <row r="3157" ht="25.5" customHeight="1" x14ac:dyDescent="0.3"/>
    <row r="3158" ht="25.5" customHeight="1" x14ac:dyDescent="0.3"/>
    <row r="3159" ht="25.5" customHeight="1" x14ac:dyDescent="0.3"/>
    <row r="3160" ht="25.5" customHeight="1" x14ac:dyDescent="0.3"/>
    <row r="3161" ht="25.5" customHeight="1" x14ac:dyDescent="0.3"/>
    <row r="3162" ht="25.5" customHeight="1" x14ac:dyDescent="0.3"/>
    <row r="3163" ht="25.5" customHeight="1" x14ac:dyDescent="0.3"/>
    <row r="3164" ht="25.5" customHeight="1" x14ac:dyDescent="0.3"/>
    <row r="3165" ht="25.5" customHeight="1" x14ac:dyDescent="0.3"/>
    <row r="3166" ht="25.5" customHeight="1" x14ac:dyDescent="0.3"/>
    <row r="3167" ht="25.5" customHeight="1" x14ac:dyDescent="0.3"/>
    <row r="3168" ht="25.5" customHeight="1" x14ac:dyDescent="0.3"/>
    <row r="3169" ht="25.5" customHeight="1" x14ac:dyDescent="0.3"/>
    <row r="3170" ht="25.5" customHeight="1" x14ac:dyDescent="0.3"/>
    <row r="3171" ht="25.5" customHeight="1" x14ac:dyDescent="0.3"/>
    <row r="3172" ht="25.5" customHeight="1" x14ac:dyDescent="0.3"/>
    <row r="3173" ht="25.5" customHeight="1" x14ac:dyDescent="0.3"/>
    <row r="3174" ht="25.5" customHeight="1" x14ac:dyDescent="0.3"/>
    <row r="3175" ht="25.5" customHeight="1" x14ac:dyDescent="0.3"/>
    <row r="3176" ht="25.5" customHeight="1" x14ac:dyDescent="0.3"/>
    <row r="3177" ht="25.5" customHeight="1" x14ac:dyDescent="0.3"/>
    <row r="3178" ht="25.5" customHeight="1" x14ac:dyDescent="0.3"/>
    <row r="3179" ht="25.5" customHeight="1" x14ac:dyDescent="0.3"/>
    <row r="3180" ht="25.5" customHeight="1" x14ac:dyDescent="0.3"/>
    <row r="3181" ht="25.5" customHeight="1" x14ac:dyDescent="0.3"/>
    <row r="3182" ht="25.5" customHeight="1" x14ac:dyDescent="0.3"/>
    <row r="3183" ht="25.5" customHeight="1" x14ac:dyDescent="0.3"/>
    <row r="3184" ht="25.5" customHeight="1" x14ac:dyDescent="0.3"/>
    <row r="3185" ht="25.5" customHeight="1" x14ac:dyDescent="0.3"/>
    <row r="3186" ht="25.5" customHeight="1" x14ac:dyDescent="0.3"/>
    <row r="3187" ht="25.5" customHeight="1" x14ac:dyDescent="0.3"/>
    <row r="3188" ht="25.5" customHeight="1" x14ac:dyDescent="0.3"/>
    <row r="3189" ht="25.5" customHeight="1" x14ac:dyDescent="0.3"/>
    <row r="3190" ht="25.5" customHeight="1" x14ac:dyDescent="0.3"/>
    <row r="3191" ht="25.5" customHeight="1" x14ac:dyDescent="0.3"/>
    <row r="3192" ht="25.5" customHeight="1" x14ac:dyDescent="0.3"/>
    <row r="3193" ht="25.5" customHeight="1" x14ac:dyDescent="0.3"/>
    <row r="3194" ht="25.5" customHeight="1" x14ac:dyDescent="0.3"/>
    <row r="3195" ht="25.5" customHeight="1" x14ac:dyDescent="0.3"/>
    <row r="3196" ht="25.5" customHeight="1" x14ac:dyDescent="0.3"/>
    <row r="3197" ht="25.5" customHeight="1" x14ac:dyDescent="0.3"/>
    <row r="3198" ht="25.5" customHeight="1" x14ac:dyDescent="0.3"/>
    <row r="3199" ht="25.5" customHeight="1" x14ac:dyDescent="0.3"/>
    <row r="3200" ht="25.5" customHeight="1" x14ac:dyDescent="0.3"/>
    <row r="3201" ht="25.5" customHeight="1" x14ac:dyDescent="0.3"/>
    <row r="3202" ht="25.5" customHeight="1" x14ac:dyDescent="0.3"/>
    <row r="3203" ht="25.5" customHeight="1" x14ac:dyDescent="0.3"/>
    <row r="3204" ht="25.5" customHeight="1" x14ac:dyDescent="0.3"/>
    <row r="3205" ht="25.5" customHeight="1" x14ac:dyDescent="0.3"/>
    <row r="3206" ht="25.5" customHeight="1" x14ac:dyDescent="0.3"/>
    <row r="3207" ht="25.5" customHeight="1" x14ac:dyDescent="0.3"/>
    <row r="3208" ht="25.5" customHeight="1" x14ac:dyDescent="0.3"/>
    <row r="3209" ht="25.5" customHeight="1" x14ac:dyDescent="0.3"/>
    <row r="3210" ht="25.5" customHeight="1" x14ac:dyDescent="0.3"/>
    <row r="3211" ht="25.5" customHeight="1" x14ac:dyDescent="0.3"/>
    <row r="3212" ht="25.5" customHeight="1" x14ac:dyDescent="0.3"/>
    <row r="3213" ht="25.5" customHeight="1" x14ac:dyDescent="0.3"/>
    <row r="3214" ht="25.5" customHeight="1" x14ac:dyDescent="0.3"/>
    <row r="3215" ht="25.5" customHeight="1" x14ac:dyDescent="0.3"/>
    <row r="3216" ht="25.5" customHeight="1" x14ac:dyDescent="0.3"/>
    <row r="3217" ht="25.5" customHeight="1" x14ac:dyDescent="0.3"/>
    <row r="3218" ht="25.5" customHeight="1" x14ac:dyDescent="0.3"/>
    <row r="3219" ht="25.5" customHeight="1" x14ac:dyDescent="0.3"/>
    <row r="3220" ht="25.5" customHeight="1" x14ac:dyDescent="0.3"/>
    <row r="3221" ht="25.5" customHeight="1" x14ac:dyDescent="0.3"/>
    <row r="3222" ht="25.5" customHeight="1" x14ac:dyDescent="0.3"/>
    <row r="3223" ht="25.5" customHeight="1" x14ac:dyDescent="0.3"/>
    <row r="3224" ht="25.5" customHeight="1" x14ac:dyDescent="0.3"/>
    <row r="3225" ht="25.5" customHeight="1" x14ac:dyDescent="0.3"/>
    <row r="3226" ht="25.5" customHeight="1" x14ac:dyDescent="0.3"/>
    <row r="3227" ht="25.5" customHeight="1" x14ac:dyDescent="0.3"/>
    <row r="3228" ht="25.5" customHeight="1" x14ac:dyDescent="0.3"/>
    <row r="3229" ht="25.5" customHeight="1" x14ac:dyDescent="0.3"/>
    <row r="3230" ht="25.5" customHeight="1" x14ac:dyDescent="0.3"/>
    <row r="3231" ht="25.5" customHeight="1" x14ac:dyDescent="0.3"/>
    <row r="3232" ht="25.5" customHeight="1" x14ac:dyDescent="0.3"/>
    <row r="3233" ht="25.5" customHeight="1" x14ac:dyDescent="0.3"/>
    <row r="3234" ht="25.5" customHeight="1" x14ac:dyDescent="0.3"/>
    <row r="3235" ht="25.5" customHeight="1" x14ac:dyDescent="0.3"/>
    <row r="3236" ht="25.5" customHeight="1" x14ac:dyDescent="0.3"/>
    <row r="3237" ht="25.5" customHeight="1" x14ac:dyDescent="0.3"/>
    <row r="3238" ht="25.5" customHeight="1" x14ac:dyDescent="0.3"/>
    <row r="3239" ht="25.5" customHeight="1" x14ac:dyDescent="0.3"/>
    <row r="3240" ht="25.5" customHeight="1" x14ac:dyDescent="0.3"/>
    <row r="3241" ht="25.5" customHeight="1" x14ac:dyDescent="0.3"/>
    <row r="3242" ht="25.5" customHeight="1" x14ac:dyDescent="0.3"/>
    <row r="3243" ht="25.5" customHeight="1" x14ac:dyDescent="0.3"/>
    <row r="3244" ht="25.5" customHeight="1" x14ac:dyDescent="0.3"/>
    <row r="3245" ht="25.5" customHeight="1" x14ac:dyDescent="0.3"/>
    <row r="3246" ht="25.5" customHeight="1" x14ac:dyDescent="0.3"/>
    <row r="3247" ht="25.5" customHeight="1" x14ac:dyDescent="0.3"/>
    <row r="3248" ht="25.5" customHeight="1" x14ac:dyDescent="0.3"/>
    <row r="3249" ht="25.5" customHeight="1" x14ac:dyDescent="0.3"/>
    <row r="3250" ht="25.5" customHeight="1" x14ac:dyDescent="0.3"/>
    <row r="3251" ht="25.5" customHeight="1" x14ac:dyDescent="0.3"/>
    <row r="3252" ht="25.5" customHeight="1" x14ac:dyDescent="0.3"/>
    <row r="3253" ht="25.5" customHeight="1" x14ac:dyDescent="0.3"/>
    <row r="3254" ht="25.5" customHeight="1" x14ac:dyDescent="0.3"/>
    <row r="3255" ht="25.5" customHeight="1" x14ac:dyDescent="0.3"/>
    <row r="3256" ht="25.5" customHeight="1" x14ac:dyDescent="0.3"/>
    <row r="3257" ht="25.5" customHeight="1" x14ac:dyDescent="0.3"/>
    <row r="3258" ht="25.5" customHeight="1" x14ac:dyDescent="0.3"/>
    <row r="3259" ht="25.5" customHeight="1" x14ac:dyDescent="0.3"/>
    <row r="3260" ht="25.5" customHeight="1" x14ac:dyDescent="0.3"/>
    <row r="3261" ht="25.5" customHeight="1" x14ac:dyDescent="0.3"/>
    <row r="3262" ht="25.5" customHeight="1" x14ac:dyDescent="0.3"/>
    <row r="3263" ht="25.5" customHeight="1" x14ac:dyDescent="0.3"/>
    <row r="3264" ht="25.5" customHeight="1" x14ac:dyDescent="0.3"/>
    <row r="3265" ht="25.5" customHeight="1" x14ac:dyDescent="0.3"/>
    <row r="3266" ht="25.5" customHeight="1" x14ac:dyDescent="0.3"/>
    <row r="3267" ht="25.5" customHeight="1" x14ac:dyDescent="0.3"/>
    <row r="3268" ht="25.5" customHeight="1" x14ac:dyDescent="0.3"/>
    <row r="3269" ht="25.5" customHeight="1" x14ac:dyDescent="0.3"/>
    <row r="3270" ht="25.5" customHeight="1" x14ac:dyDescent="0.3"/>
    <row r="3271" ht="25.5" customHeight="1" x14ac:dyDescent="0.3"/>
    <row r="3272" ht="25.5" customHeight="1" x14ac:dyDescent="0.3"/>
    <row r="3273" ht="25.5" customHeight="1" x14ac:dyDescent="0.3"/>
    <row r="3274" ht="25.5" customHeight="1" x14ac:dyDescent="0.3"/>
    <row r="3275" ht="25.5" customHeight="1" x14ac:dyDescent="0.3"/>
    <row r="3276" ht="25.5" customHeight="1" x14ac:dyDescent="0.3"/>
    <row r="3277" ht="25.5" customHeight="1" x14ac:dyDescent="0.3"/>
    <row r="3278" ht="25.5" customHeight="1" x14ac:dyDescent="0.3"/>
    <row r="3279" ht="25.5" customHeight="1" x14ac:dyDescent="0.3"/>
    <row r="3280" ht="25.5" customHeight="1" x14ac:dyDescent="0.3"/>
    <row r="3281" ht="25.5" customHeight="1" x14ac:dyDescent="0.3"/>
    <row r="3282" ht="25.5" customHeight="1" x14ac:dyDescent="0.3"/>
    <row r="3283" ht="25.5" customHeight="1" x14ac:dyDescent="0.3"/>
    <row r="3284" ht="25.5" customHeight="1" x14ac:dyDescent="0.3"/>
    <row r="3285" ht="25.5" customHeight="1" x14ac:dyDescent="0.3"/>
    <row r="3286" ht="25.5" customHeight="1" x14ac:dyDescent="0.3"/>
    <row r="3287" ht="25.5" customHeight="1" x14ac:dyDescent="0.3"/>
    <row r="3288" ht="25.5" customHeight="1" x14ac:dyDescent="0.3"/>
    <row r="3289" ht="25.5" customHeight="1" x14ac:dyDescent="0.3"/>
    <row r="3290" ht="25.5" customHeight="1" x14ac:dyDescent="0.3"/>
    <row r="3291" ht="25.5" customHeight="1" x14ac:dyDescent="0.3"/>
    <row r="3292" ht="25.5" customHeight="1" x14ac:dyDescent="0.3"/>
    <row r="3293" ht="25.5" customHeight="1" x14ac:dyDescent="0.3"/>
    <row r="3294" ht="25.5" customHeight="1" x14ac:dyDescent="0.3"/>
    <row r="3295" ht="25.5" customHeight="1" x14ac:dyDescent="0.3"/>
    <row r="3296" ht="25.5" customHeight="1" x14ac:dyDescent="0.3"/>
    <row r="3297" ht="25.5" customHeight="1" x14ac:dyDescent="0.3"/>
    <row r="3298" ht="25.5" customHeight="1" x14ac:dyDescent="0.3"/>
    <row r="3299" ht="25.5" customHeight="1" x14ac:dyDescent="0.3"/>
    <row r="3300" ht="25.5" customHeight="1" x14ac:dyDescent="0.3"/>
    <row r="3301" ht="25.5" customHeight="1" x14ac:dyDescent="0.3"/>
    <row r="3302" ht="25.5" customHeight="1" x14ac:dyDescent="0.3"/>
    <row r="3303" ht="25.5" customHeight="1" x14ac:dyDescent="0.3"/>
    <row r="3304" ht="25.5" customHeight="1" x14ac:dyDescent="0.3"/>
    <row r="3305" ht="25.5" customHeight="1" x14ac:dyDescent="0.3"/>
    <row r="3306" ht="25.5" customHeight="1" x14ac:dyDescent="0.3"/>
    <row r="3307" ht="25.5" customHeight="1" x14ac:dyDescent="0.3"/>
    <row r="3308" ht="25.5" customHeight="1" x14ac:dyDescent="0.3"/>
    <row r="3309" ht="25.5" customHeight="1" x14ac:dyDescent="0.3"/>
    <row r="3310" ht="25.5" customHeight="1" x14ac:dyDescent="0.3"/>
    <row r="3311" ht="25.5" customHeight="1" x14ac:dyDescent="0.3"/>
    <row r="3312" ht="25.5" customHeight="1" x14ac:dyDescent="0.3"/>
    <row r="3313" ht="25.5" customHeight="1" x14ac:dyDescent="0.3"/>
    <row r="3314" ht="25.5" customHeight="1" x14ac:dyDescent="0.3"/>
    <row r="3315" ht="25.5" customHeight="1" x14ac:dyDescent="0.3"/>
    <row r="3316" ht="25.5" customHeight="1" x14ac:dyDescent="0.3"/>
    <row r="3317" ht="25.5" customHeight="1" x14ac:dyDescent="0.3"/>
    <row r="3318" ht="25.5" customHeight="1" x14ac:dyDescent="0.3"/>
    <row r="3319" ht="25.5" customHeight="1" x14ac:dyDescent="0.3"/>
    <row r="3320" ht="25.5" customHeight="1" x14ac:dyDescent="0.3"/>
    <row r="3321" ht="25.5" customHeight="1" x14ac:dyDescent="0.3"/>
    <row r="3322" ht="25.5" customHeight="1" x14ac:dyDescent="0.3"/>
    <row r="3323" ht="25.5" customHeight="1" x14ac:dyDescent="0.3"/>
    <row r="3324" ht="25.5" customHeight="1" x14ac:dyDescent="0.3"/>
    <row r="3325" ht="25.5" customHeight="1" x14ac:dyDescent="0.3"/>
    <row r="3326" ht="25.5" customHeight="1" x14ac:dyDescent="0.3"/>
    <row r="3327" ht="25.5" customHeight="1" x14ac:dyDescent="0.3"/>
    <row r="3328" ht="25.5" customHeight="1" x14ac:dyDescent="0.3"/>
    <row r="3329" ht="25.5" customHeight="1" x14ac:dyDescent="0.3"/>
    <row r="3330" ht="25.5" customHeight="1" x14ac:dyDescent="0.3"/>
    <row r="3331" ht="25.5" customHeight="1" x14ac:dyDescent="0.3"/>
    <row r="3332" ht="25.5" customHeight="1" x14ac:dyDescent="0.3"/>
    <row r="3333" ht="25.5" customHeight="1" x14ac:dyDescent="0.3"/>
    <row r="3334" ht="25.5" customHeight="1" x14ac:dyDescent="0.3"/>
    <row r="3335" ht="25.5" customHeight="1" x14ac:dyDescent="0.3"/>
    <row r="3336" ht="25.5" customHeight="1" x14ac:dyDescent="0.3"/>
    <row r="3337" ht="25.5" customHeight="1" x14ac:dyDescent="0.3"/>
    <row r="3338" ht="25.5" customHeight="1" x14ac:dyDescent="0.3"/>
    <row r="3339" ht="25.5" customHeight="1" x14ac:dyDescent="0.3"/>
    <row r="3340" ht="25.5" customHeight="1" x14ac:dyDescent="0.3"/>
    <row r="3341" ht="25.5" customHeight="1" x14ac:dyDescent="0.3"/>
    <row r="3342" ht="25.5" customHeight="1" x14ac:dyDescent="0.3"/>
    <row r="3343" ht="25.5" customHeight="1" x14ac:dyDescent="0.3"/>
    <row r="3344" ht="25.5" customHeight="1" x14ac:dyDescent="0.3"/>
    <row r="3345" ht="25.5" customHeight="1" x14ac:dyDescent="0.3"/>
    <row r="3346" ht="25.5" customHeight="1" x14ac:dyDescent="0.3"/>
    <row r="3347" ht="25.5" customHeight="1" x14ac:dyDescent="0.3"/>
    <row r="3348" ht="25.5" customHeight="1" x14ac:dyDescent="0.3"/>
    <row r="3349" ht="25.5" customHeight="1" x14ac:dyDescent="0.3"/>
    <row r="3350" ht="25.5" customHeight="1" x14ac:dyDescent="0.3"/>
    <row r="3351" ht="25.5" customHeight="1" x14ac:dyDescent="0.3"/>
    <row r="3352" ht="25.5" customHeight="1" x14ac:dyDescent="0.3"/>
    <row r="3353" ht="25.5" customHeight="1" x14ac:dyDescent="0.3"/>
    <row r="3354" ht="25.5" customHeight="1" x14ac:dyDescent="0.3"/>
    <row r="3355" ht="25.5" customHeight="1" x14ac:dyDescent="0.3"/>
    <row r="3356" ht="25.5" customHeight="1" x14ac:dyDescent="0.3"/>
    <row r="3357" ht="25.5" customHeight="1" x14ac:dyDescent="0.3"/>
    <row r="3358" ht="25.5" customHeight="1" x14ac:dyDescent="0.3"/>
    <row r="3359" ht="25.5" customHeight="1" x14ac:dyDescent="0.3"/>
    <row r="3360" ht="25.5" customHeight="1" x14ac:dyDescent="0.3"/>
    <row r="3361" ht="25.5" customHeight="1" x14ac:dyDescent="0.3"/>
    <row r="3362" ht="25.5" customHeight="1" x14ac:dyDescent="0.3"/>
    <row r="3363" ht="25.5" customHeight="1" x14ac:dyDescent="0.3"/>
    <row r="3364" ht="25.5" customHeight="1" x14ac:dyDescent="0.3"/>
    <row r="3365" ht="25.5" customHeight="1" x14ac:dyDescent="0.3"/>
    <row r="3366" ht="25.5" customHeight="1" x14ac:dyDescent="0.3"/>
    <row r="3367" ht="25.5" customHeight="1" x14ac:dyDescent="0.3"/>
    <row r="3368" ht="25.5" customHeight="1" x14ac:dyDescent="0.3"/>
    <row r="3369" ht="25.5" customHeight="1" x14ac:dyDescent="0.3"/>
    <row r="3370" ht="25.5" customHeight="1" x14ac:dyDescent="0.3"/>
    <row r="3371" ht="25.5" customHeight="1" x14ac:dyDescent="0.3"/>
    <row r="3372" ht="25.5" customHeight="1" x14ac:dyDescent="0.3"/>
    <row r="3373" ht="25.5" customHeight="1" x14ac:dyDescent="0.3"/>
    <row r="3374" ht="25.5" customHeight="1" x14ac:dyDescent="0.3"/>
    <row r="3375" ht="25.5" customHeight="1" x14ac:dyDescent="0.3"/>
    <row r="3376" ht="25.5" customHeight="1" x14ac:dyDescent="0.3"/>
    <row r="3377" ht="25.5" customHeight="1" x14ac:dyDescent="0.3"/>
    <row r="3378" ht="25.5" customHeight="1" x14ac:dyDescent="0.3"/>
    <row r="3379" ht="25.5" customHeight="1" x14ac:dyDescent="0.3"/>
    <row r="3380" ht="25.5" customHeight="1" x14ac:dyDescent="0.3"/>
    <row r="3381" ht="25.5" customHeight="1" x14ac:dyDescent="0.3"/>
    <row r="3382" ht="25.5" customHeight="1" x14ac:dyDescent="0.3"/>
    <row r="3383" ht="25.5" customHeight="1" x14ac:dyDescent="0.3"/>
    <row r="3384" ht="25.5" customHeight="1" x14ac:dyDescent="0.3"/>
    <row r="3385" ht="25.5" customHeight="1" x14ac:dyDescent="0.3"/>
    <row r="3386" ht="25.5" customHeight="1" x14ac:dyDescent="0.3"/>
    <row r="3387" ht="25.5" customHeight="1" x14ac:dyDescent="0.3"/>
    <row r="3388" ht="25.5" customHeight="1" x14ac:dyDescent="0.3"/>
    <row r="3389" ht="25.5" customHeight="1" x14ac:dyDescent="0.3"/>
    <row r="3390" ht="25.5" customHeight="1" x14ac:dyDescent="0.3"/>
    <row r="3391" ht="25.5" customHeight="1" x14ac:dyDescent="0.3"/>
    <row r="3392" ht="25.5" customHeight="1" x14ac:dyDescent="0.3"/>
    <row r="3393" ht="25.5" customHeight="1" x14ac:dyDescent="0.3"/>
    <row r="3394" ht="25.5" customHeight="1" x14ac:dyDescent="0.3"/>
    <row r="3395" ht="25.5" customHeight="1" x14ac:dyDescent="0.3"/>
    <row r="3396" ht="25.5" customHeight="1" x14ac:dyDescent="0.3"/>
    <row r="3397" ht="25.5" customHeight="1" x14ac:dyDescent="0.3"/>
    <row r="3398" ht="25.5" customHeight="1" x14ac:dyDescent="0.3"/>
    <row r="3399" ht="25.5" customHeight="1" x14ac:dyDescent="0.3"/>
    <row r="3400" ht="25.5" customHeight="1" x14ac:dyDescent="0.3"/>
    <row r="3401" ht="25.5" customHeight="1" x14ac:dyDescent="0.3"/>
    <row r="3402" ht="25.5" customHeight="1" x14ac:dyDescent="0.3"/>
    <row r="3403" ht="25.5" customHeight="1" x14ac:dyDescent="0.3"/>
    <row r="3404" ht="25.5" customHeight="1" x14ac:dyDescent="0.3"/>
    <row r="3405" ht="25.5" customHeight="1" x14ac:dyDescent="0.3"/>
    <row r="3406" ht="25.5" customHeight="1" x14ac:dyDescent="0.3"/>
    <row r="3407" ht="25.5" customHeight="1" x14ac:dyDescent="0.3"/>
    <row r="3408" ht="25.5" customHeight="1" x14ac:dyDescent="0.3"/>
    <row r="3409" ht="25.5" customHeight="1" x14ac:dyDescent="0.3"/>
    <row r="3410" ht="25.5" customHeight="1" x14ac:dyDescent="0.3"/>
    <row r="3411" ht="25.5" customHeight="1" x14ac:dyDescent="0.3"/>
    <row r="3412" ht="25.5" customHeight="1" x14ac:dyDescent="0.3"/>
    <row r="3413" ht="25.5" customHeight="1" x14ac:dyDescent="0.3"/>
    <row r="3414" ht="25.5" customHeight="1" x14ac:dyDescent="0.3"/>
    <row r="3415" ht="25.5" customHeight="1" x14ac:dyDescent="0.3"/>
    <row r="3416" ht="25.5" customHeight="1" x14ac:dyDescent="0.3"/>
    <row r="3417" ht="25.5" customHeight="1" x14ac:dyDescent="0.3"/>
    <row r="3418" ht="25.5" customHeight="1" x14ac:dyDescent="0.3"/>
    <row r="3419" ht="25.5" customHeight="1" x14ac:dyDescent="0.3"/>
    <row r="3420" ht="25.5" customHeight="1" x14ac:dyDescent="0.3"/>
    <row r="3421" ht="25.5" customHeight="1" x14ac:dyDescent="0.3"/>
    <row r="3422" ht="25.5" customHeight="1" x14ac:dyDescent="0.3"/>
    <row r="3423" ht="25.5" customHeight="1" x14ac:dyDescent="0.3"/>
    <row r="3424" ht="25.5" customHeight="1" x14ac:dyDescent="0.3"/>
    <row r="3425" ht="25.5" customHeight="1" x14ac:dyDescent="0.3"/>
    <row r="3426" ht="25.5" customHeight="1" x14ac:dyDescent="0.3"/>
    <row r="3427" ht="25.5" customHeight="1" x14ac:dyDescent="0.3"/>
    <row r="3428" ht="25.5" customHeight="1" x14ac:dyDescent="0.3"/>
    <row r="3429" ht="25.5" customHeight="1" x14ac:dyDescent="0.3"/>
    <row r="3430" ht="25.5" customHeight="1" x14ac:dyDescent="0.3"/>
    <row r="3431" ht="25.5" customHeight="1" x14ac:dyDescent="0.3"/>
    <row r="3432" ht="25.5" customHeight="1" x14ac:dyDescent="0.3"/>
    <row r="3433" ht="25.5" customHeight="1" x14ac:dyDescent="0.3"/>
    <row r="3434" ht="25.5" customHeight="1" x14ac:dyDescent="0.3"/>
    <row r="3435" ht="25.5" customHeight="1" x14ac:dyDescent="0.3"/>
    <row r="3436" ht="25.5" customHeight="1" x14ac:dyDescent="0.3"/>
    <row r="3437" ht="25.5" customHeight="1" x14ac:dyDescent="0.3"/>
    <row r="3438" ht="25.5" customHeight="1" x14ac:dyDescent="0.3"/>
    <row r="3439" ht="25.5" customHeight="1" x14ac:dyDescent="0.3"/>
    <row r="3440" ht="25.5" customHeight="1" x14ac:dyDescent="0.3"/>
    <row r="3441" ht="25.5" customHeight="1" x14ac:dyDescent="0.3"/>
    <row r="3442" ht="25.5" customHeight="1" x14ac:dyDescent="0.3"/>
    <row r="3443" ht="25.5" customHeight="1" x14ac:dyDescent="0.3"/>
    <row r="3444" ht="25.5" customHeight="1" x14ac:dyDescent="0.3"/>
    <row r="3445" ht="25.5" customHeight="1" x14ac:dyDescent="0.3"/>
    <row r="3446" ht="25.5" customHeight="1" x14ac:dyDescent="0.3"/>
    <row r="3447" ht="25.5" customHeight="1" x14ac:dyDescent="0.3"/>
    <row r="3448" ht="25.5" customHeight="1" x14ac:dyDescent="0.3"/>
    <row r="3449" ht="25.5" customHeight="1" x14ac:dyDescent="0.3"/>
    <row r="3450" ht="25.5" customHeight="1" x14ac:dyDescent="0.3"/>
    <row r="3451" ht="25.5" customHeight="1" x14ac:dyDescent="0.3"/>
    <row r="3452" ht="25.5" customHeight="1" x14ac:dyDescent="0.3"/>
    <row r="3453" ht="25.5" customHeight="1" x14ac:dyDescent="0.3"/>
    <row r="3454" ht="25.5" customHeight="1" x14ac:dyDescent="0.3"/>
    <row r="3455" ht="25.5" customHeight="1" x14ac:dyDescent="0.3"/>
    <row r="3456" ht="25.5" customHeight="1" x14ac:dyDescent="0.3"/>
    <row r="3457" ht="25.5" customHeight="1" x14ac:dyDescent="0.3"/>
    <row r="3458" ht="25.5" customHeight="1" x14ac:dyDescent="0.3"/>
    <row r="3459" ht="25.5" customHeight="1" x14ac:dyDescent="0.3"/>
    <row r="3460" ht="25.5" customHeight="1" x14ac:dyDescent="0.3"/>
    <row r="3461" ht="25.5" customHeight="1" x14ac:dyDescent="0.3"/>
    <row r="3462" ht="25.5" customHeight="1" x14ac:dyDescent="0.3"/>
    <row r="3463" ht="25.5" customHeight="1" x14ac:dyDescent="0.3"/>
    <row r="3464" ht="25.5" customHeight="1" x14ac:dyDescent="0.3"/>
    <row r="3465" ht="25.5" customHeight="1" x14ac:dyDescent="0.3"/>
    <row r="3466" ht="25.5" customHeight="1" x14ac:dyDescent="0.3"/>
    <row r="3467" ht="25.5" customHeight="1" x14ac:dyDescent="0.3"/>
    <row r="3468" ht="25.5" customHeight="1" x14ac:dyDescent="0.3"/>
    <row r="3469" ht="25.5" customHeight="1" x14ac:dyDescent="0.3"/>
    <row r="3470" ht="25.5" customHeight="1" x14ac:dyDescent="0.3"/>
    <row r="3471" ht="25.5" customHeight="1" x14ac:dyDescent="0.3"/>
    <row r="3472" ht="25.5" customHeight="1" x14ac:dyDescent="0.3"/>
    <row r="3473" ht="25.5" customHeight="1" x14ac:dyDescent="0.3"/>
    <row r="3474" ht="25.5" customHeight="1" x14ac:dyDescent="0.3"/>
    <row r="3475" ht="25.5" customHeight="1" x14ac:dyDescent="0.3"/>
    <row r="3476" ht="25.5" customHeight="1" x14ac:dyDescent="0.3"/>
    <row r="3477" ht="25.5" customHeight="1" x14ac:dyDescent="0.3"/>
    <row r="3478" ht="25.5" customHeight="1" x14ac:dyDescent="0.3"/>
    <row r="3479" ht="25.5" customHeight="1" x14ac:dyDescent="0.3"/>
    <row r="3480" ht="25.5" customHeight="1" x14ac:dyDescent="0.3"/>
    <row r="3481" ht="25.5" customHeight="1" x14ac:dyDescent="0.3"/>
    <row r="3482" ht="25.5" customHeight="1" x14ac:dyDescent="0.3"/>
    <row r="3483" ht="25.5" customHeight="1" x14ac:dyDescent="0.3"/>
    <row r="3484" ht="25.5" customHeight="1" x14ac:dyDescent="0.3"/>
    <row r="3485" ht="25.5" customHeight="1" x14ac:dyDescent="0.3"/>
    <row r="3486" ht="25.5" customHeight="1" x14ac:dyDescent="0.3"/>
    <row r="3487" ht="25.5" customHeight="1" x14ac:dyDescent="0.3"/>
    <row r="3488" ht="25.5" customHeight="1" x14ac:dyDescent="0.3"/>
    <row r="3489" ht="25.5" customHeight="1" x14ac:dyDescent="0.3"/>
  </sheetData>
  <dataValidations count="1">
    <dataValidation showInputMessage="1" showErrorMessage="1" sqref="E7:E8" xr:uid="{00000000-0002-0000-00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87"/>
  <sheetViews>
    <sheetView showGridLines="0" showRowColHeaders="0" tabSelected="1" topLeftCell="B1" zoomScale="81" zoomScaleNormal="85" workbookViewId="0">
      <pane ySplit="11" topLeftCell="A60" activePane="bottomLeft" state="frozen"/>
      <selection pane="bottomLeft" activeCell="E250" sqref="E250"/>
    </sheetView>
  </sheetViews>
  <sheetFormatPr defaultColWidth="62.6640625" defaultRowHeight="14.4" x14ac:dyDescent="0.3"/>
  <cols>
    <col min="1" max="1" width="5" style="1" customWidth="1"/>
    <col min="2" max="2" width="28.44140625" style="1" customWidth="1"/>
    <col min="3" max="3" width="17.33203125" style="1" customWidth="1"/>
    <col min="4" max="4" width="118.77734375" style="1" customWidth="1"/>
    <col min="5" max="5" width="18.6640625" style="1" customWidth="1"/>
    <col min="6" max="6" width="12.77734375" style="21" customWidth="1"/>
    <col min="7" max="7" width="16.109375" style="1" customWidth="1"/>
    <col min="8" max="8" width="36.109375" style="1" customWidth="1"/>
    <col min="9" max="16384" width="62.6640625" style="1"/>
  </cols>
  <sheetData>
    <row r="1" spans="2:8" x14ac:dyDescent="0.3">
      <c r="B1" s="22"/>
      <c r="C1" s="22"/>
      <c r="D1" s="58"/>
      <c r="E1" s="22"/>
      <c r="F1" s="23"/>
      <c r="G1" s="22"/>
      <c r="H1" s="22"/>
    </row>
    <row r="2" spans="2:8" x14ac:dyDescent="0.3">
      <c r="B2" s="22"/>
      <c r="C2" s="22"/>
      <c r="D2" s="58"/>
      <c r="E2" s="22"/>
      <c r="F2" s="23"/>
      <c r="G2" s="22"/>
      <c r="H2" s="22"/>
    </row>
    <row r="3" spans="2:8" ht="15" customHeight="1" x14ac:dyDescent="0.3">
      <c r="B3" s="22"/>
      <c r="C3" s="22"/>
      <c r="D3" s="22"/>
      <c r="E3" s="22"/>
      <c r="F3" s="23"/>
      <c r="G3" s="22"/>
      <c r="H3" s="22"/>
    </row>
    <row r="4" spans="2:8" ht="15" customHeight="1" x14ac:dyDescent="0.3">
      <c r="B4" s="59" t="s">
        <v>10</v>
      </c>
      <c r="C4" s="59"/>
      <c r="D4" s="59"/>
      <c r="E4" s="59"/>
      <c r="F4" s="59"/>
      <c r="G4" s="59"/>
      <c r="H4" s="59"/>
    </row>
    <row r="5" spans="2:8" x14ac:dyDescent="0.3">
      <c r="B5" s="59"/>
      <c r="C5" s="59"/>
      <c r="D5" s="59"/>
      <c r="E5" s="59"/>
      <c r="F5" s="59"/>
      <c r="G5" s="59"/>
      <c r="H5" s="59"/>
    </row>
    <row r="6" spans="2:8" ht="15" customHeight="1" x14ac:dyDescent="0.3">
      <c r="B6" s="22"/>
      <c r="C6" s="22"/>
      <c r="D6" s="22"/>
      <c r="E6" s="22"/>
      <c r="F6" s="23"/>
      <c r="G6" s="22"/>
      <c r="H6" s="22"/>
    </row>
    <row r="7" spans="2:8" ht="15" customHeight="1" x14ac:dyDescent="0.3">
      <c r="B7" s="32" t="s">
        <v>11</v>
      </c>
      <c r="C7" s="24" t="s">
        <v>12</v>
      </c>
      <c r="E7" s="22"/>
      <c r="F7" s="23"/>
      <c r="G7" s="22"/>
      <c r="H7" s="22"/>
    </row>
    <row r="8" spans="2:8" ht="32.4" customHeight="1" x14ac:dyDescent="0.3">
      <c r="B8" s="32" t="s">
        <v>13</v>
      </c>
      <c r="C8" s="56" t="str">
        <f>(Layout!E8)</f>
        <v>PESTA3002</v>
      </c>
      <c r="E8" s="22"/>
      <c r="F8" s="23"/>
      <c r="G8" s="22"/>
      <c r="H8" s="22"/>
    </row>
    <row r="9" spans="2:8" ht="32.4" customHeight="1" x14ac:dyDescent="0.3">
      <c r="B9" s="32" t="s">
        <v>14</v>
      </c>
      <c r="C9" s="24" t="s">
        <v>15</v>
      </c>
      <c r="D9" s="22"/>
      <c r="E9" s="22"/>
      <c r="F9" s="23"/>
      <c r="G9" s="22"/>
      <c r="H9" s="22"/>
    </row>
    <row r="10" spans="2:8" x14ac:dyDescent="0.3">
      <c r="B10" s="22"/>
      <c r="C10" s="25"/>
      <c r="D10" s="26"/>
      <c r="F10" s="23"/>
      <c r="G10" s="22"/>
      <c r="H10" s="22"/>
    </row>
    <row r="11" spans="2:8" x14ac:dyDescent="0.3">
      <c r="B11" s="49" t="s">
        <v>16</v>
      </c>
      <c r="C11" s="49" t="s">
        <v>17</v>
      </c>
      <c r="D11" s="50" t="s">
        <v>18</v>
      </c>
      <c r="E11" s="50" t="s">
        <v>19</v>
      </c>
      <c r="F11" s="50" t="s">
        <v>20</v>
      </c>
      <c r="G11" s="50" t="s">
        <v>21</v>
      </c>
      <c r="H11" s="50" t="s">
        <v>22</v>
      </c>
    </row>
    <row r="12" spans="2:8" hidden="1" x14ac:dyDescent="0.3">
      <c r="B12" s="27" t="s">
        <v>23</v>
      </c>
      <c r="C12" s="27" t="s">
        <v>24</v>
      </c>
      <c r="D12" s="27" t="s">
        <v>25</v>
      </c>
      <c r="E12" s="27" t="s">
        <v>26</v>
      </c>
      <c r="F12" s="28"/>
      <c r="G12" s="29">
        <v>0</v>
      </c>
      <c r="H12" s="52">
        <f t="shared" ref="H12:H43" si="0">G12*F12</f>
        <v>0</v>
      </c>
    </row>
    <row r="13" spans="2:8" hidden="1" x14ac:dyDescent="0.3">
      <c r="B13" s="27" t="s">
        <v>23</v>
      </c>
      <c r="C13" s="27" t="s">
        <v>27</v>
      </c>
      <c r="D13" s="27" t="s">
        <v>28</v>
      </c>
      <c r="E13" s="29" t="s">
        <v>26</v>
      </c>
      <c r="F13" s="28"/>
      <c r="G13" s="29">
        <v>900</v>
      </c>
      <c r="H13" s="54">
        <f t="shared" si="0"/>
        <v>0</v>
      </c>
    </row>
    <row r="14" spans="2:8" hidden="1" x14ac:dyDescent="0.3">
      <c r="B14" s="27" t="s">
        <v>23</v>
      </c>
      <c r="C14" s="27" t="s">
        <v>29</v>
      </c>
      <c r="D14" s="27" t="s">
        <v>30</v>
      </c>
      <c r="E14" s="27" t="s">
        <v>26</v>
      </c>
      <c r="F14" s="28"/>
      <c r="G14" s="29">
        <v>0</v>
      </c>
      <c r="H14" s="52">
        <f t="shared" si="0"/>
        <v>0</v>
      </c>
    </row>
    <row r="15" spans="2:8" hidden="1" x14ac:dyDescent="0.3">
      <c r="B15" s="27" t="s">
        <v>23</v>
      </c>
      <c r="C15" s="27" t="s">
        <v>31</v>
      </c>
      <c r="D15" s="27" t="s">
        <v>32</v>
      </c>
      <c r="E15" s="29" t="s">
        <v>26</v>
      </c>
      <c r="F15" s="28"/>
      <c r="G15" s="29">
        <v>0</v>
      </c>
      <c r="H15" s="52">
        <f t="shared" si="0"/>
        <v>0</v>
      </c>
    </row>
    <row r="16" spans="2:8" hidden="1" x14ac:dyDescent="0.3">
      <c r="B16" s="27" t="s">
        <v>23</v>
      </c>
      <c r="C16" s="27" t="s">
        <v>33</v>
      </c>
      <c r="D16" s="27" t="s">
        <v>34</v>
      </c>
      <c r="E16" s="27" t="s">
        <v>26</v>
      </c>
      <c r="F16" s="28"/>
      <c r="G16" s="29">
        <v>0</v>
      </c>
      <c r="H16" s="52">
        <f t="shared" si="0"/>
        <v>0</v>
      </c>
    </row>
    <row r="17" spans="2:8" hidden="1" x14ac:dyDescent="0.3">
      <c r="B17" s="27" t="s">
        <v>23</v>
      </c>
      <c r="C17" s="27" t="s">
        <v>35</v>
      </c>
      <c r="D17" s="27" t="s">
        <v>36</v>
      </c>
      <c r="E17" s="29" t="s">
        <v>26</v>
      </c>
      <c r="F17" s="28"/>
      <c r="G17" s="29">
        <v>0</v>
      </c>
      <c r="H17" s="52">
        <f t="shared" si="0"/>
        <v>0</v>
      </c>
    </row>
    <row r="18" spans="2:8" hidden="1" x14ac:dyDescent="0.3">
      <c r="B18" s="27" t="s">
        <v>23</v>
      </c>
      <c r="C18" s="27" t="s">
        <v>37</v>
      </c>
      <c r="D18" s="27" t="s">
        <v>38</v>
      </c>
      <c r="E18" s="27" t="s">
        <v>26</v>
      </c>
      <c r="F18" s="28"/>
      <c r="G18" s="29">
        <v>0</v>
      </c>
      <c r="H18" s="52">
        <f t="shared" si="0"/>
        <v>0</v>
      </c>
    </row>
    <row r="19" spans="2:8" hidden="1" x14ac:dyDescent="0.3">
      <c r="B19" s="27" t="s">
        <v>23</v>
      </c>
      <c r="C19" s="27" t="s">
        <v>39</v>
      </c>
      <c r="D19" s="27" t="s">
        <v>40</v>
      </c>
      <c r="E19" s="29" t="s">
        <v>26</v>
      </c>
      <c r="F19" s="28"/>
      <c r="G19" s="29">
        <v>0</v>
      </c>
      <c r="H19" s="52">
        <f t="shared" si="0"/>
        <v>0</v>
      </c>
    </row>
    <row r="20" spans="2:8" hidden="1" x14ac:dyDescent="0.3">
      <c r="B20" s="27" t="s">
        <v>23</v>
      </c>
      <c r="C20" s="27" t="s">
        <v>41</v>
      </c>
      <c r="D20" s="27" t="s">
        <v>42</v>
      </c>
      <c r="E20" s="27" t="s">
        <v>26</v>
      </c>
      <c r="F20" s="28"/>
      <c r="G20" s="29">
        <v>0</v>
      </c>
      <c r="H20" s="52">
        <f t="shared" si="0"/>
        <v>0</v>
      </c>
    </row>
    <row r="21" spans="2:8" hidden="1" x14ac:dyDescent="0.3">
      <c r="B21" s="27" t="s">
        <v>23</v>
      </c>
      <c r="C21" s="27" t="s">
        <v>43</v>
      </c>
      <c r="D21" s="27" t="s">
        <v>44</v>
      </c>
      <c r="E21" s="29" t="s">
        <v>26</v>
      </c>
      <c r="F21" s="28"/>
      <c r="G21" s="29">
        <v>0</v>
      </c>
      <c r="H21" s="52">
        <f t="shared" si="0"/>
        <v>0</v>
      </c>
    </row>
    <row r="22" spans="2:8" hidden="1" x14ac:dyDescent="0.3">
      <c r="B22" s="27" t="s">
        <v>23</v>
      </c>
      <c r="C22" s="27" t="s">
        <v>45</v>
      </c>
      <c r="D22" s="27" t="s">
        <v>46</v>
      </c>
      <c r="E22" s="27" t="s">
        <v>26</v>
      </c>
      <c r="F22" s="28"/>
      <c r="G22" s="29">
        <v>0</v>
      </c>
      <c r="H22" s="52">
        <f t="shared" si="0"/>
        <v>0</v>
      </c>
    </row>
    <row r="23" spans="2:8" hidden="1" x14ac:dyDescent="0.3">
      <c r="B23" s="27" t="s">
        <v>23</v>
      </c>
      <c r="C23" s="27" t="s">
        <v>47</v>
      </c>
      <c r="D23" s="27" t="s">
        <v>48</v>
      </c>
      <c r="E23" s="29" t="s">
        <v>26</v>
      </c>
      <c r="F23" s="28"/>
      <c r="G23" s="29">
        <v>0</v>
      </c>
      <c r="H23" s="52">
        <f t="shared" si="0"/>
        <v>0</v>
      </c>
    </row>
    <row r="24" spans="2:8" hidden="1" x14ac:dyDescent="0.3">
      <c r="B24" s="27" t="s">
        <v>49</v>
      </c>
      <c r="C24" s="27" t="s">
        <v>50</v>
      </c>
      <c r="D24" s="27" t="s">
        <v>51</v>
      </c>
      <c r="E24" s="27" t="s">
        <v>52</v>
      </c>
      <c r="F24" s="28"/>
      <c r="G24" s="29">
        <v>0</v>
      </c>
      <c r="H24" s="52">
        <f t="shared" si="0"/>
        <v>0</v>
      </c>
    </row>
    <row r="25" spans="2:8" hidden="1" x14ac:dyDescent="0.3">
      <c r="B25" s="27" t="s">
        <v>49</v>
      </c>
      <c r="C25" s="27" t="s">
        <v>53</v>
      </c>
      <c r="D25" s="27" t="s">
        <v>54</v>
      </c>
      <c r="E25" s="29" t="s">
        <v>52</v>
      </c>
      <c r="F25" s="28"/>
      <c r="G25" s="29">
        <v>0</v>
      </c>
      <c r="H25" s="52">
        <f t="shared" si="0"/>
        <v>0</v>
      </c>
    </row>
    <row r="26" spans="2:8" hidden="1" x14ac:dyDescent="0.3">
      <c r="B26" s="27" t="s">
        <v>49</v>
      </c>
      <c r="C26" s="27" t="s">
        <v>55</v>
      </c>
      <c r="D26" s="27" t="s">
        <v>56</v>
      </c>
      <c r="E26" s="27" t="s">
        <v>52</v>
      </c>
      <c r="F26" s="28"/>
      <c r="G26" s="29">
        <v>0</v>
      </c>
      <c r="H26" s="52">
        <f t="shared" si="0"/>
        <v>0</v>
      </c>
    </row>
    <row r="27" spans="2:8" hidden="1" x14ac:dyDescent="0.3">
      <c r="B27" s="27" t="s">
        <v>49</v>
      </c>
      <c r="C27" s="27" t="s">
        <v>57</v>
      </c>
      <c r="D27" s="27" t="s">
        <v>58</v>
      </c>
      <c r="E27" s="29" t="s">
        <v>52</v>
      </c>
      <c r="F27" s="28"/>
      <c r="G27" s="29">
        <v>0</v>
      </c>
      <c r="H27" s="52">
        <f t="shared" si="0"/>
        <v>0</v>
      </c>
    </row>
    <row r="28" spans="2:8" hidden="1" x14ac:dyDescent="0.3">
      <c r="B28" s="27" t="s">
        <v>49</v>
      </c>
      <c r="C28" s="27" t="s">
        <v>59</v>
      </c>
      <c r="D28" s="27" t="s">
        <v>60</v>
      </c>
      <c r="E28" s="27" t="s">
        <v>52</v>
      </c>
      <c r="F28" s="28"/>
      <c r="G28" s="29">
        <v>0</v>
      </c>
      <c r="H28" s="52">
        <f t="shared" si="0"/>
        <v>0</v>
      </c>
    </row>
    <row r="29" spans="2:8" hidden="1" x14ac:dyDescent="0.3">
      <c r="B29" s="27" t="s">
        <v>49</v>
      </c>
      <c r="C29" s="27" t="s">
        <v>61</v>
      </c>
      <c r="D29" s="27" t="s">
        <v>62</v>
      </c>
      <c r="E29" s="29" t="s">
        <v>52</v>
      </c>
      <c r="F29" s="28"/>
      <c r="G29" s="29">
        <v>0</v>
      </c>
      <c r="H29" s="52">
        <f t="shared" si="0"/>
        <v>0</v>
      </c>
    </row>
    <row r="30" spans="2:8" hidden="1" x14ac:dyDescent="0.3">
      <c r="B30" s="27" t="s">
        <v>49</v>
      </c>
      <c r="C30" s="27" t="s">
        <v>63</v>
      </c>
      <c r="D30" s="27" t="s">
        <v>64</v>
      </c>
      <c r="E30" s="27" t="s">
        <v>52</v>
      </c>
      <c r="F30" s="28"/>
      <c r="G30" s="29">
        <v>0</v>
      </c>
      <c r="H30" s="52">
        <f t="shared" si="0"/>
        <v>0</v>
      </c>
    </row>
    <row r="31" spans="2:8" hidden="1" x14ac:dyDescent="0.3">
      <c r="B31" s="27" t="s">
        <v>49</v>
      </c>
      <c r="C31" s="27" t="s">
        <v>65</v>
      </c>
      <c r="D31" s="27" t="s">
        <v>66</v>
      </c>
      <c r="E31" s="29" t="s">
        <v>52</v>
      </c>
      <c r="F31" s="28"/>
      <c r="G31" s="29">
        <v>0</v>
      </c>
      <c r="H31" s="52">
        <f t="shared" si="0"/>
        <v>0</v>
      </c>
    </row>
    <row r="32" spans="2:8" hidden="1" x14ac:dyDescent="0.3">
      <c r="B32" s="27" t="s">
        <v>49</v>
      </c>
      <c r="C32" s="27" t="s">
        <v>67</v>
      </c>
      <c r="D32" s="27" t="s">
        <v>68</v>
      </c>
      <c r="E32" s="27" t="s">
        <v>52</v>
      </c>
      <c r="F32" s="28"/>
      <c r="G32" s="29">
        <v>0</v>
      </c>
      <c r="H32" s="52">
        <f t="shared" si="0"/>
        <v>0</v>
      </c>
    </row>
    <row r="33" spans="2:8" hidden="1" x14ac:dyDescent="0.3">
      <c r="B33" s="27" t="s">
        <v>49</v>
      </c>
      <c r="C33" s="27" t="s">
        <v>69</v>
      </c>
      <c r="D33" s="27" t="s">
        <v>70</v>
      </c>
      <c r="E33" s="29" t="s">
        <v>71</v>
      </c>
      <c r="F33" s="28"/>
      <c r="G33" s="29">
        <v>0</v>
      </c>
      <c r="H33" s="52">
        <f t="shared" si="0"/>
        <v>0</v>
      </c>
    </row>
    <row r="34" spans="2:8" hidden="1" x14ac:dyDescent="0.3">
      <c r="B34" s="27" t="s">
        <v>49</v>
      </c>
      <c r="C34" s="27" t="s">
        <v>72</v>
      </c>
      <c r="D34" s="27" t="s">
        <v>73</v>
      </c>
      <c r="E34" s="27" t="s">
        <v>74</v>
      </c>
      <c r="F34" s="28"/>
      <c r="G34" s="29">
        <v>0</v>
      </c>
      <c r="H34" s="52">
        <f t="shared" si="0"/>
        <v>0</v>
      </c>
    </row>
    <row r="35" spans="2:8" hidden="1" x14ac:dyDescent="0.3">
      <c r="B35" s="27" t="s">
        <v>49</v>
      </c>
      <c r="C35" s="27" t="s">
        <v>75</v>
      </c>
      <c r="D35" s="27" t="s">
        <v>76</v>
      </c>
      <c r="E35" s="29" t="s">
        <v>52</v>
      </c>
      <c r="F35" s="28"/>
      <c r="G35" s="29">
        <v>0</v>
      </c>
      <c r="H35" s="52">
        <f t="shared" si="0"/>
        <v>0</v>
      </c>
    </row>
    <row r="36" spans="2:8" hidden="1" x14ac:dyDescent="0.3">
      <c r="B36" s="27" t="s">
        <v>49</v>
      </c>
      <c r="C36" s="27" t="s">
        <v>77</v>
      </c>
      <c r="D36" s="27" t="s">
        <v>78</v>
      </c>
      <c r="E36" s="27" t="s">
        <v>52</v>
      </c>
      <c r="F36" s="28"/>
      <c r="G36" s="29">
        <v>0</v>
      </c>
      <c r="H36" s="52">
        <f t="shared" si="0"/>
        <v>0</v>
      </c>
    </row>
    <row r="37" spans="2:8" hidden="1" x14ac:dyDescent="0.3">
      <c r="B37" s="27" t="s">
        <v>49</v>
      </c>
      <c r="C37" s="27" t="s">
        <v>79</v>
      </c>
      <c r="D37" s="27" t="s">
        <v>80</v>
      </c>
      <c r="E37" s="29" t="s">
        <v>52</v>
      </c>
      <c r="F37" s="28"/>
      <c r="G37" s="29">
        <v>0</v>
      </c>
      <c r="H37" s="52">
        <f t="shared" si="0"/>
        <v>0</v>
      </c>
    </row>
    <row r="38" spans="2:8" hidden="1" x14ac:dyDescent="0.3">
      <c r="B38" s="27" t="s">
        <v>49</v>
      </c>
      <c r="C38" s="27" t="s">
        <v>81</v>
      </c>
      <c r="D38" s="27" t="s">
        <v>82</v>
      </c>
      <c r="E38" s="27" t="s">
        <v>26</v>
      </c>
      <c r="F38" s="28"/>
      <c r="G38" s="29">
        <v>0</v>
      </c>
      <c r="H38" s="52">
        <f t="shared" si="0"/>
        <v>0</v>
      </c>
    </row>
    <row r="39" spans="2:8" hidden="1" x14ac:dyDescent="0.3">
      <c r="B39" s="27" t="s">
        <v>49</v>
      </c>
      <c r="C39" s="27" t="s">
        <v>83</v>
      </c>
      <c r="D39" s="27" t="s">
        <v>84</v>
      </c>
      <c r="E39" s="27" t="s">
        <v>85</v>
      </c>
      <c r="F39" s="28"/>
      <c r="G39" s="29">
        <v>0</v>
      </c>
      <c r="H39" s="52">
        <f t="shared" si="0"/>
        <v>0</v>
      </c>
    </row>
    <row r="40" spans="2:8" hidden="1" x14ac:dyDescent="0.3">
      <c r="B40" s="27" t="s">
        <v>86</v>
      </c>
      <c r="C40" s="27" t="s">
        <v>87</v>
      </c>
      <c r="D40" s="27" t="s">
        <v>88</v>
      </c>
      <c r="E40" s="29" t="s">
        <v>89</v>
      </c>
      <c r="F40" s="28"/>
      <c r="G40" s="29">
        <v>0</v>
      </c>
      <c r="H40" s="52">
        <f t="shared" si="0"/>
        <v>0</v>
      </c>
    </row>
    <row r="41" spans="2:8" hidden="1" x14ac:dyDescent="0.3">
      <c r="B41" s="27" t="s">
        <v>86</v>
      </c>
      <c r="C41" s="27" t="s">
        <v>90</v>
      </c>
      <c r="D41" s="27" t="s">
        <v>91</v>
      </c>
      <c r="E41" s="27" t="s">
        <v>85</v>
      </c>
      <c r="F41" s="28"/>
      <c r="G41" s="29">
        <v>0</v>
      </c>
      <c r="H41" s="52">
        <f t="shared" si="0"/>
        <v>0</v>
      </c>
    </row>
    <row r="42" spans="2:8" hidden="1" x14ac:dyDescent="0.3">
      <c r="B42" s="27" t="s">
        <v>86</v>
      </c>
      <c r="C42" s="27" t="s">
        <v>92</v>
      </c>
      <c r="D42" s="27" t="s">
        <v>93</v>
      </c>
      <c r="E42" s="29" t="s">
        <v>85</v>
      </c>
      <c r="F42" s="28"/>
      <c r="G42" s="29">
        <v>0</v>
      </c>
      <c r="H42" s="52">
        <f t="shared" si="0"/>
        <v>0</v>
      </c>
    </row>
    <row r="43" spans="2:8" hidden="1" x14ac:dyDescent="0.3">
      <c r="B43" s="27" t="s">
        <v>86</v>
      </c>
      <c r="C43" s="27" t="s">
        <v>94</v>
      </c>
      <c r="D43" s="27" t="s">
        <v>95</v>
      </c>
      <c r="E43" s="27" t="s">
        <v>96</v>
      </c>
      <c r="F43" s="28"/>
      <c r="G43" s="29">
        <v>0</v>
      </c>
      <c r="H43" s="52">
        <f t="shared" si="0"/>
        <v>0</v>
      </c>
    </row>
    <row r="44" spans="2:8" hidden="1" x14ac:dyDescent="0.3">
      <c r="B44" s="27" t="s">
        <v>86</v>
      </c>
      <c r="C44" s="27" t="s">
        <v>97</v>
      </c>
      <c r="D44" s="27" t="s">
        <v>98</v>
      </c>
      <c r="E44" s="29" t="s">
        <v>26</v>
      </c>
      <c r="F44" s="28"/>
      <c r="G44" s="29">
        <v>0</v>
      </c>
      <c r="H44" s="52">
        <f t="shared" ref="H44:H74" si="1">G44*F44</f>
        <v>0</v>
      </c>
    </row>
    <row r="45" spans="2:8" hidden="1" x14ac:dyDescent="0.3">
      <c r="B45" s="27" t="s">
        <v>86</v>
      </c>
      <c r="C45" s="27" t="s">
        <v>99</v>
      </c>
      <c r="D45" s="27" t="s">
        <v>100</v>
      </c>
      <c r="E45" s="27" t="s">
        <v>52</v>
      </c>
      <c r="F45" s="28"/>
      <c r="G45" s="29">
        <v>0</v>
      </c>
      <c r="H45" s="52">
        <f t="shared" si="1"/>
        <v>0</v>
      </c>
    </row>
    <row r="46" spans="2:8" hidden="1" x14ac:dyDescent="0.3">
      <c r="B46" s="27" t="s">
        <v>86</v>
      </c>
      <c r="C46" s="27" t="s">
        <v>101</v>
      </c>
      <c r="D46" s="27" t="s">
        <v>102</v>
      </c>
      <c r="E46" s="29" t="s">
        <v>74</v>
      </c>
      <c r="F46" s="28"/>
      <c r="G46" s="29">
        <v>0</v>
      </c>
      <c r="H46" s="52">
        <f t="shared" si="1"/>
        <v>0</v>
      </c>
    </row>
    <row r="47" spans="2:8" hidden="1" x14ac:dyDescent="0.3">
      <c r="B47" s="27" t="s">
        <v>86</v>
      </c>
      <c r="C47" s="27" t="s">
        <v>103</v>
      </c>
      <c r="D47" s="27" t="s">
        <v>104</v>
      </c>
      <c r="E47" s="27" t="s">
        <v>26</v>
      </c>
      <c r="F47" s="28"/>
      <c r="G47" s="29">
        <v>0</v>
      </c>
      <c r="H47" s="52">
        <f t="shared" si="1"/>
        <v>0</v>
      </c>
    </row>
    <row r="48" spans="2:8" hidden="1" x14ac:dyDescent="0.3">
      <c r="B48" s="27" t="s">
        <v>105</v>
      </c>
      <c r="C48" s="27" t="s">
        <v>106</v>
      </c>
      <c r="D48" s="27" t="s">
        <v>107</v>
      </c>
      <c r="E48" s="29" t="s">
        <v>71</v>
      </c>
      <c r="F48" s="28"/>
      <c r="G48" s="29">
        <v>0</v>
      </c>
      <c r="H48" s="52">
        <f t="shared" si="1"/>
        <v>0</v>
      </c>
    </row>
    <row r="49" spans="2:8" hidden="1" x14ac:dyDescent="0.3">
      <c r="B49" s="27" t="s">
        <v>105</v>
      </c>
      <c r="C49" s="27" t="s">
        <v>108</v>
      </c>
      <c r="D49" s="27" t="s">
        <v>109</v>
      </c>
      <c r="E49" s="27" t="s">
        <v>71</v>
      </c>
      <c r="F49" s="51"/>
      <c r="G49" s="29">
        <v>367</v>
      </c>
      <c r="H49" s="29">
        <f t="shared" si="1"/>
        <v>0</v>
      </c>
    </row>
    <row r="50" spans="2:8" hidden="1" x14ac:dyDescent="0.3">
      <c r="B50" s="27" t="s">
        <v>105</v>
      </c>
      <c r="C50" s="27" t="s">
        <v>110</v>
      </c>
      <c r="D50" s="27" t="s">
        <v>111</v>
      </c>
      <c r="E50" s="29" t="s">
        <v>71</v>
      </c>
      <c r="F50" s="28"/>
      <c r="G50" s="29">
        <v>0</v>
      </c>
      <c r="H50" s="29">
        <f t="shared" si="1"/>
        <v>0</v>
      </c>
    </row>
    <row r="51" spans="2:8" hidden="1" x14ac:dyDescent="0.3">
      <c r="B51" s="27" t="s">
        <v>105</v>
      </c>
      <c r="C51" s="27" t="s">
        <v>112</v>
      </c>
      <c r="D51" s="27" t="s">
        <v>113</v>
      </c>
      <c r="E51" s="27" t="s">
        <v>71</v>
      </c>
      <c r="F51" s="28"/>
      <c r="G51" s="29">
        <v>0</v>
      </c>
      <c r="H51" s="29">
        <f t="shared" si="1"/>
        <v>0</v>
      </c>
    </row>
    <row r="52" spans="2:8" hidden="1" x14ac:dyDescent="0.3">
      <c r="B52" s="27" t="s">
        <v>105</v>
      </c>
      <c r="C52" s="27" t="s">
        <v>114</v>
      </c>
      <c r="D52" s="27" t="s">
        <v>115</v>
      </c>
      <c r="E52" s="29" t="s">
        <v>85</v>
      </c>
      <c r="F52" s="28"/>
      <c r="G52" s="29">
        <v>0</v>
      </c>
      <c r="H52" s="29">
        <f t="shared" si="1"/>
        <v>0</v>
      </c>
    </row>
    <row r="53" spans="2:8" hidden="1" x14ac:dyDescent="0.3">
      <c r="B53" s="27" t="s">
        <v>105</v>
      </c>
      <c r="C53" s="27" t="s">
        <v>116</v>
      </c>
      <c r="D53" s="27" t="s">
        <v>117</v>
      </c>
      <c r="E53" s="27" t="s">
        <v>89</v>
      </c>
      <c r="F53" s="28"/>
      <c r="G53" s="29">
        <v>0</v>
      </c>
      <c r="H53" s="29">
        <f t="shared" si="1"/>
        <v>0</v>
      </c>
    </row>
    <row r="54" spans="2:8" hidden="1" x14ac:dyDescent="0.3">
      <c r="B54" s="27" t="s">
        <v>105</v>
      </c>
      <c r="C54" s="27" t="s">
        <v>118</v>
      </c>
      <c r="D54" s="27" t="s">
        <v>119</v>
      </c>
      <c r="E54" s="29" t="s">
        <v>89</v>
      </c>
      <c r="F54" s="28"/>
      <c r="G54" s="29">
        <v>0</v>
      </c>
      <c r="H54" s="29">
        <f t="shared" si="1"/>
        <v>0</v>
      </c>
    </row>
    <row r="55" spans="2:8" hidden="1" x14ac:dyDescent="0.3">
      <c r="B55" s="27" t="s">
        <v>105</v>
      </c>
      <c r="C55" s="27" t="s">
        <v>120</v>
      </c>
      <c r="D55" s="27" t="s">
        <v>121</v>
      </c>
      <c r="E55" s="27" t="s">
        <v>89</v>
      </c>
      <c r="F55" s="28"/>
      <c r="G55" s="29">
        <v>0</v>
      </c>
      <c r="H55" s="29">
        <f t="shared" si="1"/>
        <v>0</v>
      </c>
    </row>
    <row r="56" spans="2:8" hidden="1" x14ac:dyDescent="0.3">
      <c r="B56" s="27" t="s">
        <v>105</v>
      </c>
      <c r="C56" s="27" t="s">
        <v>122</v>
      </c>
      <c r="D56" s="27" t="s">
        <v>123</v>
      </c>
      <c r="E56" s="29" t="s">
        <v>89</v>
      </c>
      <c r="F56" s="28"/>
      <c r="G56" s="29">
        <v>0</v>
      </c>
      <c r="H56" s="29">
        <f t="shared" si="1"/>
        <v>0</v>
      </c>
    </row>
    <row r="57" spans="2:8" hidden="1" x14ac:dyDescent="0.3">
      <c r="B57" s="27" t="s">
        <v>105</v>
      </c>
      <c r="C57" s="27" t="s">
        <v>124</v>
      </c>
      <c r="D57" s="27" t="s">
        <v>125</v>
      </c>
      <c r="E57" s="27" t="s">
        <v>89</v>
      </c>
      <c r="F57" s="28"/>
      <c r="G57" s="29">
        <v>0</v>
      </c>
      <c r="H57" s="29">
        <f t="shared" si="1"/>
        <v>0</v>
      </c>
    </row>
    <row r="58" spans="2:8" hidden="1" x14ac:dyDescent="0.3">
      <c r="B58" s="27" t="s">
        <v>105</v>
      </c>
      <c r="C58" s="27" t="s">
        <v>126</v>
      </c>
      <c r="D58" s="27" t="s">
        <v>127</v>
      </c>
      <c r="E58" s="29" t="s">
        <v>89</v>
      </c>
      <c r="F58" s="28"/>
      <c r="G58" s="29">
        <v>0</v>
      </c>
      <c r="H58" s="29">
        <f t="shared" si="1"/>
        <v>0</v>
      </c>
    </row>
    <row r="59" spans="2:8" hidden="1" x14ac:dyDescent="0.3">
      <c r="B59" s="27" t="s">
        <v>105</v>
      </c>
      <c r="C59" s="27" t="s">
        <v>128</v>
      </c>
      <c r="D59" s="27" t="s">
        <v>129</v>
      </c>
      <c r="E59" s="27" t="s">
        <v>89</v>
      </c>
      <c r="F59" s="28"/>
      <c r="G59" s="29">
        <v>0</v>
      </c>
      <c r="H59" s="29">
        <f t="shared" si="1"/>
        <v>0</v>
      </c>
    </row>
    <row r="60" spans="2:8" hidden="1" x14ac:dyDescent="0.3">
      <c r="B60" s="27" t="s">
        <v>130</v>
      </c>
      <c r="C60" s="27" t="s">
        <v>131</v>
      </c>
      <c r="D60" s="27" t="s">
        <v>132</v>
      </c>
      <c r="E60" s="29" t="s">
        <v>71</v>
      </c>
      <c r="F60" s="28"/>
      <c r="G60" s="29">
        <v>0</v>
      </c>
      <c r="H60" s="30">
        <f t="shared" si="1"/>
        <v>0</v>
      </c>
    </row>
    <row r="61" spans="2:8" hidden="1" x14ac:dyDescent="0.3">
      <c r="B61" s="27" t="s">
        <v>130</v>
      </c>
      <c r="C61" s="27" t="s">
        <v>133</v>
      </c>
      <c r="D61" s="27" t="s">
        <v>134</v>
      </c>
      <c r="E61" s="27" t="s">
        <v>71</v>
      </c>
      <c r="F61" s="28"/>
      <c r="G61" s="29">
        <v>0</v>
      </c>
      <c r="H61" s="29">
        <f t="shared" si="1"/>
        <v>0</v>
      </c>
    </row>
    <row r="62" spans="2:8" hidden="1" x14ac:dyDescent="0.3">
      <c r="B62" s="27" t="s">
        <v>130</v>
      </c>
      <c r="C62" s="27" t="s">
        <v>135</v>
      </c>
      <c r="D62" s="27" t="s">
        <v>136</v>
      </c>
      <c r="E62" s="29" t="s">
        <v>52</v>
      </c>
      <c r="F62" s="28"/>
      <c r="G62" s="29">
        <v>0</v>
      </c>
      <c r="H62" s="29">
        <f t="shared" si="1"/>
        <v>0</v>
      </c>
    </row>
    <row r="63" spans="2:8" hidden="1" x14ac:dyDescent="0.3">
      <c r="B63" s="27" t="s">
        <v>130</v>
      </c>
      <c r="C63" s="27" t="s">
        <v>137</v>
      </c>
      <c r="D63" s="27" t="s">
        <v>138</v>
      </c>
      <c r="E63" s="27" t="s">
        <v>89</v>
      </c>
      <c r="F63" s="51"/>
      <c r="G63" s="29">
        <v>956.3</v>
      </c>
      <c r="H63" s="55">
        <f t="shared" si="1"/>
        <v>0</v>
      </c>
    </row>
    <row r="64" spans="2:8" hidden="1" x14ac:dyDescent="0.3">
      <c r="B64" s="27" t="s">
        <v>130</v>
      </c>
      <c r="C64" s="27" t="s">
        <v>139</v>
      </c>
      <c r="D64" s="27" t="s">
        <v>140</v>
      </c>
      <c r="E64" s="29" t="s">
        <v>52</v>
      </c>
      <c r="F64" s="61"/>
      <c r="G64" s="29">
        <v>3645.25</v>
      </c>
      <c r="H64" s="55">
        <f t="shared" si="1"/>
        <v>0</v>
      </c>
    </row>
    <row r="65" spans="2:8" x14ac:dyDescent="0.3">
      <c r="B65" s="27" t="s">
        <v>130</v>
      </c>
      <c r="C65" s="27" t="s">
        <v>141</v>
      </c>
      <c r="D65" s="27" t="s">
        <v>142</v>
      </c>
      <c r="E65" s="27" t="s">
        <v>74</v>
      </c>
      <c r="F65" s="28">
        <v>120</v>
      </c>
      <c r="G65" s="29">
        <v>55</v>
      </c>
      <c r="H65" s="62">
        <f t="shared" si="1"/>
        <v>6600</v>
      </c>
    </row>
    <row r="66" spans="2:8" hidden="1" x14ac:dyDescent="0.3">
      <c r="B66" s="27" t="s">
        <v>130</v>
      </c>
      <c r="C66" s="27" t="s">
        <v>143</v>
      </c>
      <c r="D66" s="27" t="s">
        <v>144</v>
      </c>
      <c r="E66" s="29" t="s">
        <v>71</v>
      </c>
      <c r="F66" s="28"/>
      <c r="G66" s="29">
        <v>0</v>
      </c>
      <c r="H66" s="62">
        <f t="shared" si="1"/>
        <v>0</v>
      </c>
    </row>
    <row r="67" spans="2:8" hidden="1" x14ac:dyDescent="0.3">
      <c r="B67" s="27" t="s">
        <v>130</v>
      </c>
      <c r="C67" s="27" t="s">
        <v>145</v>
      </c>
      <c r="D67" s="27" t="s">
        <v>146</v>
      </c>
      <c r="E67" s="27" t="s">
        <v>71</v>
      </c>
      <c r="F67" s="28"/>
      <c r="G67" s="29">
        <v>0</v>
      </c>
      <c r="H67" s="62">
        <f t="shared" si="1"/>
        <v>0</v>
      </c>
    </row>
    <row r="68" spans="2:8" hidden="1" x14ac:dyDescent="0.3">
      <c r="B68" s="27" t="s">
        <v>130</v>
      </c>
      <c r="C68" s="27" t="s">
        <v>147</v>
      </c>
      <c r="D68" s="27" t="s">
        <v>148</v>
      </c>
      <c r="E68" s="29" t="s">
        <v>71</v>
      </c>
      <c r="F68" s="28"/>
      <c r="G68" s="29">
        <v>0</v>
      </c>
      <c r="H68" s="62">
        <f t="shared" si="1"/>
        <v>0</v>
      </c>
    </row>
    <row r="69" spans="2:8" hidden="1" x14ac:dyDescent="0.3">
      <c r="B69" s="27" t="s">
        <v>130</v>
      </c>
      <c r="C69" s="27" t="s">
        <v>149</v>
      </c>
      <c r="D69" s="27" t="s">
        <v>150</v>
      </c>
      <c r="E69" s="27" t="s">
        <v>71</v>
      </c>
      <c r="F69" s="28"/>
      <c r="G69" s="29">
        <v>0</v>
      </c>
      <c r="H69" s="62">
        <f t="shared" si="1"/>
        <v>0</v>
      </c>
    </row>
    <row r="70" spans="2:8" hidden="1" x14ac:dyDescent="0.3">
      <c r="B70" s="27" t="s">
        <v>130</v>
      </c>
      <c r="C70" s="27" t="s">
        <v>151</v>
      </c>
      <c r="D70" s="27" t="s">
        <v>152</v>
      </c>
      <c r="E70" s="29" t="s">
        <v>71</v>
      </c>
      <c r="F70" s="28"/>
      <c r="G70" s="29">
        <v>0</v>
      </c>
      <c r="H70" s="62">
        <f t="shared" si="1"/>
        <v>0</v>
      </c>
    </row>
    <row r="71" spans="2:8" hidden="1" x14ac:dyDescent="0.3">
      <c r="B71" s="27" t="s">
        <v>130</v>
      </c>
      <c r="C71" s="27" t="s">
        <v>153</v>
      </c>
      <c r="D71" s="27" t="s">
        <v>154</v>
      </c>
      <c r="E71" s="27" t="s">
        <v>89</v>
      </c>
      <c r="F71" s="51"/>
      <c r="G71" s="29">
        <v>178.2</v>
      </c>
      <c r="H71" s="62">
        <f t="shared" si="1"/>
        <v>0</v>
      </c>
    </row>
    <row r="72" spans="2:8" hidden="1" x14ac:dyDescent="0.3">
      <c r="B72" s="27" t="s">
        <v>155</v>
      </c>
      <c r="C72" s="27" t="s">
        <v>156</v>
      </c>
      <c r="D72" s="27" t="s">
        <v>157</v>
      </c>
      <c r="E72" s="29" t="s">
        <v>89</v>
      </c>
      <c r="F72" s="51"/>
      <c r="G72" s="29">
        <v>12994.74</v>
      </c>
      <c r="H72" s="62">
        <f t="shared" si="1"/>
        <v>0</v>
      </c>
    </row>
    <row r="73" spans="2:8" hidden="1" x14ac:dyDescent="0.3">
      <c r="B73" s="27" t="s">
        <v>155</v>
      </c>
      <c r="C73" s="27" t="s">
        <v>158</v>
      </c>
      <c r="D73" s="27" t="s">
        <v>159</v>
      </c>
      <c r="E73" s="27" t="s">
        <v>89</v>
      </c>
      <c r="F73" s="51"/>
      <c r="G73" s="29">
        <v>13994.74</v>
      </c>
      <c r="H73" s="62">
        <f t="shared" si="1"/>
        <v>0</v>
      </c>
    </row>
    <row r="74" spans="2:8" x14ac:dyDescent="0.3">
      <c r="B74" s="27" t="s">
        <v>155</v>
      </c>
      <c r="C74" s="27" t="s">
        <v>160</v>
      </c>
      <c r="D74" s="27" t="s">
        <v>161</v>
      </c>
      <c r="E74" s="29" t="s">
        <v>89</v>
      </c>
      <c r="F74" s="51">
        <v>1</v>
      </c>
      <c r="G74" s="29">
        <v>13990</v>
      </c>
      <c r="H74" s="62">
        <f t="shared" si="1"/>
        <v>13990</v>
      </c>
    </row>
    <row r="75" spans="2:8" hidden="1" x14ac:dyDescent="0.3">
      <c r="B75" s="27" t="s">
        <v>155</v>
      </c>
      <c r="C75" s="27" t="s">
        <v>158</v>
      </c>
      <c r="D75" s="27" t="s">
        <v>162</v>
      </c>
      <c r="E75" s="27" t="s">
        <v>89</v>
      </c>
      <c r="F75" s="28"/>
      <c r="G75" s="29"/>
      <c r="H75" s="62"/>
    </row>
    <row r="76" spans="2:8" hidden="1" x14ac:dyDescent="0.3">
      <c r="B76" s="27" t="s">
        <v>155</v>
      </c>
      <c r="C76" s="27" t="s">
        <v>160</v>
      </c>
      <c r="D76" s="27" t="s">
        <v>163</v>
      </c>
      <c r="E76" s="29" t="s">
        <v>89</v>
      </c>
      <c r="F76" s="51"/>
      <c r="G76" s="29">
        <v>1350</v>
      </c>
      <c r="H76" s="62">
        <f t="shared" ref="H76:H119" si="2">G76*F76</f>
        <v>0</v>
      </c>
    </row>
    <row r="77" spans="2:8" hidden="1" x14ac:dyDescent="0.3">
      <c r="B77" s="27" t="s">
        <v>155</v>
      </c>
      <c r="C77" s="27" t="s">
        <v>164</v>
      </c>
      <c r="D77" s="27" t="s">
        <v>165</v>
      </c>
      <c r="E77" s="27" t="s">
        <v>89</v>
      </c>
      <c r="F77" s="51"/>
      <c r="G77" s="29">
        <v>350</v>
      </c>
      <c r="H77" s="62">
        <f t="shared" si="2"/>
        <v>0</v>
      </c>
    </row>
    <row r="78" spans="2:8" hidden="1" x14ac:dyDescent="0.3">
      <c r="B78" s="27" t="s">
        <v>155</v>
      </c>
      <c r="C78" s="27" t="s">
        <v>166</v>
      </c>
      <c r="D78" s="27" t="s">
        <v>167</v>
      </c>
      <c r="E78" s="29" t="s">
        <v>89</v>
      </c>
      <c r="F78" s="28"/>
      <c r="G78" s="29">
        <v>0</v>
      </c>
      <c r="H78" s="63">
        <f t="shared" si="2"/>
        <v>0</v>
      </c>
    </row>
    <row r="79" spans="2:8" hidden="1" x14ac:dyDescent="0.3">
      <c r="B79" s="27" t="s">
        <v>155</v>
      </c>
      <c r="C79" s="27" t="s">
        <v>168</v>
      </c>
      <c r="D79" s="27" t="s">
        <v>169</v>
      </c>
      <c r="E79" s="27" t="s">
        <v>89</v>
      </c>
      <c r="F79" s="28"/>
      <c r="G79" s="29">
        <v>0</v>
      </c>
      <c r="H79" s="62">
        <f t="shared" si="2"/>
        <v>0</v>
      </c>
    </row>
    <row r="80" spans="2:8" x14ac:dyDescent="0.3">
      <c r="B80" s="27" t="s">
        <v>155</v>
      </c>
      <c r="C80" s="27" t="s">
        <v>170</v>
      </c>
      <c r="D80" s="27" t="s">
        <v>596</v>
      </c>
      <c r="E80" s="29" t="s">
        <v>89</v>
      </c>
      <c r="F80" s="51">
        <v>1</v>
      </c>
      <c r="G80" s="29">
        <v>8450</v>
      </c>
      <c r="H80" s="62">
        <f t="shared" si="2"/>
        <v>8450</v>
      </c>
    </row>
    <row r="81" spans="2:8" hidden="1" x14ac:dyDescent="0.3">
      <c r="B81" s="27" t="s">
        <v>155</v>
      </c>
      <c r="C81" s="27" t="s">
        <v>171</v>
      </c>
      <c r="D81" s="27" t="s">
        <v>172</v>
      </c>
      <c r="E81" s="27" t="s">
        <v>89</v>
      </c>
      <c r="F81" s="28"/>
      <c r="G81" s="29">
        <v>0</v>
      </c>
      <c r="H81" s="62">
        <f t="shared" si="2"/>
        <v>0</v>
      </c>
    </row>
    <row r="82" spans="2:8" hidden="1" x14ac:dyDescent="0.3">
      <c r="B82" s="27" t="s">
        <v>155</v>
      </c>
      <c r="C82" s="27" t="s">
        <v>173</v>
      </c>
      <c r="D82" s="27" t="s">
        <v>174</v>
      </c>
      <c r="E82" s="29" t="s">
        <v>89</v>
      </c>
      <c r="F82" s="28"/>
      <c r="G82" s="29">
        <v>0</v>
      </c>
      <c r="H82" s="62">
        <f t="shared" si="2"/>
        <v>0</v>
      </c>
    </row>
    <row r="83" spans="2:8" hidden="1" x14ac:dyDescent="0.3">
      <c r="B83" s="27" t="s">
        <v>155</v>
      </c>
      <c r="C83" s="27" t="s">
        <v>175</v>
      </c>
      <c r="D83" s="27" t="s">
        <v>597</v>
      </c>
      <c r="E83" s="27" t="s">
        <v>89</v>
      </c>
      <c r="F83" s="28"/>
      <c r="G83" s="29">
        <v>0</v>
      </c>
      <c r="H83" s="62">
        <f t="shared" si="2"/>
        <v>0</v>
      </c>
    </row>
    <row r="84" spans="2:8" hidden="1" x14ac:dyDescent="0.3">
      <c r="B84" s="27" t="s">
        <v>155</v>
      </c>
      <c r="C84" s="27" t="s">
        <v>176</v>
      </c>
      <c r="D84" s="27" t="s">
        <v>177</v>
      </c>
      <c r="E84" s="29" t="s">
        <v>89</v>
      </c>
      <c r="F84" s="28"/>
      <c r="G84" s="29">
        <v>0</v>
      </c>
      <c r="H84" s="62">
        <f t="shared" si="2"/>
        <v>0</v>
      </c>
    </row>
    <row r="85" spans="2:8" hidden="1" x14ac:dyDescent="0.3">
      <c r="B85" s="27" t="s">
        <v>155</v>
      </c>
      <c r="C85" s="27" t="s">
        <v>178</v>
      </c>
      <c r="D85" s="27" t="s">
        <v>179</v>
      </c>
      <c r="E85" s="29" t="s">
        <v>85</v>
      </c>
      <c r="F85" s="28"/>
      <c r="G85" s="29">
        <v>0</v>
      </c>
      <c r="H85" s="62">
        <f t="shared" si="2"/>
        <v>0</v>
      </c>
    </row>
    <row r="86" spans="2:8" hidden="1" x14ac:dyDescent="0.3">
      <c r="B86" s="27" t="s">
        <v>155</v>
      </c>
      <c r="C86" s="27" t="s">
        <v>180</v>
      </c>
      <c r="D86" s="27" t="s">
        <v>181</v>
      </c>
      <c r="E86" s="29" t="s">
        <v>85</v>
      </c>
      <c r="F86" s="51"/>
      <c r="G86" s="29">
        <v>25</v>
      </c>
      <c r="H86" s="62">
        <f t="shared" si="2"/>
        <v>0</v>
      </c>
    </row>
    <row r="87" spans="2:8" hidden="1" x14ac:dyDescent="0.3">
      <c r="B87" s="27" t="s">
        <v>155</v>
      </c>
      <c r="C87" s="27" t="s">
        <v>182</v>
      </c>
      <c r="D87" s="27" t="s">
        <v>183</v>
      </c>
      <c r="E87" s="29" t="s">
        <v>85</v>
      </c>
      <c r="F87" s="51"/>
      <c r="G87" s="29">
        <v>38</v>
      </c>
      <c r="H87" s="62">
        <f t="shared" si="2"/>
        <v>0</v>
      </c>
    </row>
    <row r="88" spans="2:8" x14ac:dyDescent="0.3">
      <c r="B88" s="27" t="s">
        <v>184</v>
      </c>
      <c r="C88" s="27" t="s">
        <v>185</v>
      </c>
      <c r="D88" s="27" t="s">
        <v>186</v>
      </c>
      <c r="E88" s="27" t="s">
        <v>85</v>
      </c>
      <c r="F88" s="51">
        <v>15</v>
      </c>
      <c r="G88" s="30">
        <v>350</v>
      </c>
      <c r="H88" s="62">
        <f t="shared" si="2"/>
        <v>5250</v>
      </c>
    </row>
    <row r="89" spans="2:8" hidden="1" x14ac:dyDescent="0.3">
      <c r="B89" s="27" t="s">
        <v>184</v>
      </c>
      <c r="C89" s="27" t="s">
        <v>187</v>
      </c>
      <c r="D89" s="27" t="s">
        <v>188</v>
      </c>
      <c r="E89" s="29" t="s">
        <v>85</v>
      </c>
      <c r="F89" s="28"/>
      <c r="G89" s="29">
        <v>0</v>
      </c>
      <c r="H89" s="62">
        <f t="shared" si="2"/>
        <v>0</v>
      </c>
    </row>
    <row r="90" spans="2:8" hidden="1" x14ac:dyDescent="0.3">
      <c r="B90" s="27" t="s">
        <v>184</v>
      </c>
      <c r="C90" s="27" t="s">
        <v>189</v>
      </c>
      <c r="D90" s="27" t="s">
        <v>190</v>
      </c>
      <c r="E90" s="27" t="s">
        <v>85</v>
      </c>
      <c r="F90" s="28"/>
      <c r="G90" s="29">
        <v>0</v>
      </c>
      <c r="H90" s="62">
        <f t="shared" si="2"/>
        <v>0</v>
      </c>
    </row>
    <row r="91" spans="2:8" x14ac:dyDescent="0.3">
      <c r="B91" s="27" t="s">
        <v>184</v>
      </c>
      <c r="C91" s="27" t="s">
        <v>191</v>
      </c>
      <c r="D91" s="27" t="s">
        <v>192</v>
      </c>
      <c r="E91" s="29" t="s">
        <v>85</v>
      </c>
      <c r="F91" s="28">
        <v>6</v>
      </c>
      <c r="G91" s="29">
        <v>55</v>
      </c>
      <c r="H91" s="62">
        <f t="shared" si="2"/>
        <v>330</v>
      </c>
    </row>
    <row r="92" spans="2:8" x14ac:dyDescent="0.3">
      <c r="B92" s="27" t="s">
        <v>184</v>
      </c>
      <c r="C92" s="27" t="s">
        <v>193</v>
      </c>
      <c r="D92" s="27" t="s">
        <v>194</v>
      </c>
      <c r="E92" s="27" t="s">
        <v>85</v>
      </c>
      <c r="F92" s="28">
        <v>15</v>
      </c>
      <c r="G92" s="30">
        <v>85</v>
      </c>
      <c r="H92" s="62">
        <f t="shared" si="2"/>
        <v>1275</v>
      </c>
    </row>
    <row r="93" spans="2:8" hidden="1" x14ac:dyDescent="0.3">
      <c r="B93" s="27" t="s">
        <v>184</v>
      </c>
      <c r="C93" s="27" t="s">
        <v>195</v>
      </c>
      <c r="D93" s="27" t="s">
        <v>196</v>
      </c>
      <c r="E93" s="29" t="s">
        <v>85</v>
      </c>
      <c r="F93" s="28"/>
      <c r="G93" s="29">
        <v>0</v>
      </c>
      <c r="H93" s="62">
        <f t="shared" si="2"/>
        <v>0</v>
      </c>
    </row>
    <row r="94" spans="2:8" hidden="1" x14ac:dyDescent="0.3">
      <c r="B94" s="27" t="s">
        <v>184</v>
      </c>
      <c r="C94" s="27" t="s">
        <v>197</v>
      </c>
      <c r="D94" s="27" t="s">
        <v>198</v>
      </c>
      <c r="E94" s="27" t="s">
        <v>85</v>
      </c>
      <c r="F94" s="28"/>
      <c r="G94" s="29">
        <v>0</v>
      </c>
      <c r="H94" s="62">
        <f t="shared" si="2"/>
        <v>0</v>
      </c>
    </row>
    <row r="95" spans="2:8" hidden="1" x14ac:dyDescent="0.3">
      <c r="B95" s="27" t="s">
        <v>184</v>
      </c>
      <c r="C95" s="27" t="s">
        <v>200</v>
      </c>
      <c r="D95" s="27" t="s">
        <v>201</v>
      </c>
      <c r="E95" s="27" t="s">
        <v>85</v>
      </c>
      <c r="F95" s="28"/>
      <c r="G95" s="29">
        <v>0</v>
      </c>
      <c r="H95" s="63">
        <f t="shared" si="2"/>
        <v>0</v>
      </c>
    </row>
    <row r="96" spans="2:8" hidden="1" x14ac:dyDescent="0.3">
      <c r="B96" s="27" t="s">
        <v>184</v>
      </c>
      <c r="C96" s="27" t="s">
        <v>202</v>
      </c>
      <c r="D96" s="27" t="s">
        <v>203</v>
      </c>
      <c r="E96" s="29" t="s">
        <v>85</v>
      </c>
      <c r="F96" s="28"/>
      <c r="G96" s="29">
        <v>0</v>
      </c>
      <c r="H96" s="62">
        <f t="shared" si="2"/>
        <v>0</v>
      </c>
    </row>
    <row r="97" spans="2:8" x14ac:dyDescent="0.3">
      <c r="B97" s="27" t="s">
        <v>184</v>
      </c>
      <c r="C97" s="27" t="s">
        <v>208</v>
      </c>
      <c r="D97" s="27" t="s">
        <v>209</v>
      </c>
      <c r="E97" s="27" t="s">
        <v>85</v>
      </c>
      <c r="F97" s="51">
        <v>5</v>
      </c>
      <c r="G97" s="29">
        <v>40</v>
      </c>
      <c r="H97" s="62">
        <f t="shared" si="2"/>
        <v>200</v>
      </c>
    </row>
    <row r="98" spans="2:8" hidden="1" x14ac:dyDescent="0.3">
      <c r="B98" s="27" t="s">
        <v>184</v>
      </c>
      <c r="C98" s="27" t="s">
        <v>210</v>
      </c>
      <c r="D98" s="27" t="s">
        <v>211</v>
      </c>
      <c r="E98" s="29" t="s">
        <v>89</v>
      </c>
      <c r="F98" s="51"/>
      <c r="G98" s="29">
        <v>3850</v>
      </c>
      <c r="H98" s="62">
        <f t="shared" si="2"/>
        <v>0</v>
      </c>
    </row>
    <row r="99" spans="2:8" hidden="1" x14ac:dyDescent="0.3">
      <c r="B99" s="27" t="s">
        <v>212</v>
      </c>
      <c r="C99" s="27" t="s">
        <v>213</v>
      </c>
      <c r="D99" s="27" t="s">
        <v>214</v>
      </c>
      <c r="E99" s="27" t="s">
        <v>89</v>
      </c>
      <c r="F99" s="28"/>
      <c r="G99" s="29">
        <v>0</v>
      </c>
      <c r="H99" s="62">
        <f t="shared" si="2"/>
        <v>0</v>
      </c>
    </row>
    <row r="100" spans="2:8" hidden="1" x14ac:dyDescent="0.3">
      <c r="B100" s="27" t="s">
        <v>212</v>
      </c>
      <c r="C100" s="27" t="s">
        <v>215</v>
      </c>
      <c r="D100" s="27" t="s">
        <v>216</v>
      </c>
      <c r="E100" s="29" t="s">
        <v>96</v>
      </c>
      <c r="F100" s="51"/>
      <c r="G100" s="29"/>
      <c r="H100" s="62">
        <f t="shared" si="2"/>
        <v>0</v>
      </c>
    </row>
    <row r="101" spans="2:8" hidden="1" x14ac:dyDescent="0.3">
      <c r="B101" s="27" t="s">
        <v>212</v>
      </c>
      <c r="C101" s="27" t="s">
        <v>217</v>
      </c>
      <c r="D101" s="27" t="s">
        <v>218</v>
      </c>
      <c r="E101" s="27" t="s">
        <v>89</v>
      </c>
      <c r="F101" s="28"/>
      <c r="G101" s="29">
        <v>3500</v>
      </c>
      <c r="H101" s="62">
        <f t="shared" si="2"/>
        <v>0</v>
      </c>
    </row>
    <row r="102" spans="2:8" hidden="1" x14ac:dyDescent="0.3">
      <c r="B102" s="27" t="s">
        <v>212</v>
      </c>
      <c r="C102" s="27" t="s">
        <v>219</v>
      </c>
      <c r="D102" s="27" t="s">
        <v>220</v>
      </c>
      <c r="E102" s="29" t="s">
        <v>89</v>
      </c>
      <c r="F102" s="28"/>
      <c r="G102" s="29">
        <v>0</v>
      </c>
      <c r="H102" s="62">
        <f t="shared" si="2"/>
        <v>0</v>
      </c>
    </row>
    <row r="103" spans="2:8" hidden="1" x14ac:dyDescent="0.3">
      <c r="B103" s="27" t="s">
        <v>212</v>
      </c>
      <c r="C103" s="27" t="s">
        <v>221</v>
      </c>
      <c r="D103" s="27" t="s">
        <v>222</v>
      </c>
      <c r="E103" s="27" t="s">
        <v>89</v>
      </c>
      <c r="F103" s="28"/>
      <c r="G103" s="29">
        <v>0</v>
      </c>
      <c r="H103" s="62">
        <f t="shared" si="2"/>
        <v>0</v>
      </c>
    </row>
    <row r="104" spans="2:8" hidden="1" x14ac:dyDescent="0.3">
      <c r="B104" s="27" t="s">
        <v>212</v>
      </c>
      <c r="C104" s="27" t="s">
        <v>223</v>
      </c>
      <c r="D104" s="27" t="s">
        <v>224</v>
      </c>
      <c r="E104" s="29" t="s">
        <v>89</v>
      </c>
      <c r="F104" s="28"/>
      <c r="G104" s="29">
        <v>0</v>
      </c>
      <c r="H104" s="62">
        <f t="shared" si="2"/>
        <v>0</v>
      </c>
    </row>
    <row r="105" spans="2:8" hidden="1" x14ac:dyDescent="0.3">
      <c r="B105" s="27" t="s">
        <v>212</v>
      </c>
      <c r="C105" s="27" t="s">
        <v>225</v>
      </c>
      <c r="D105" s="27" t="s">
        <v>226</v>
      </c>
      <c r="E105" s="27" t="s">
        <v>89</v>
      </c>
      <c r="F105" s="28"/>
      <c r="G105" s="29">
        <v>0</v>
      </c>
      <c r="H105" s="62">
        <f t="shared" si="2"/>
        <v>0</v>
      </c>
    </row>
    <row r="106" spans="2:8" hidden="1" x14ac:dyDescent="0.3">
      <c r="B106" s="27" t="s">
        <v>212</v>
      </c>
      <c r="C106" s="27" t="s">
        <v>227</v>
      </c>
      <c r="D106" s="27" t="s">
        <v>228</v>
      </c>
      <c r="E106" s="29" t="s">
        <v>85</v>
      </c>
      <c r="F106" s="28"/>
      <c r="G106" s="29">
        <v>0</v>
      </c>
      <c r="H106" s="62">
        <f t="shared" si="2"/>
        <v>0</v>
      </c>
    </row>
    <row r="107" spans="2:8" hidden="1" x14ac:dyDescent="0.3">
      <c r="B107" s="27" t="s">
        <v>212</v>
      </c>
      <c r="C107" s="27" t="s">
        <v>229</v>
      </c>
      <c r="D107" s="27" t="s">
        <v>230</v>
      </c>
      <c r="E107" s="27" t="s">
        <v>71</v>
      </c>
      <c r="F107" s="28"/>
      <c r="G107" s="29">
        <v>0</v>
      </c>
      <c r="H107" s="62">
        <f t="shared" si="2"/>
        <v>0</v>
      </c>
    </row>
    <row r="108" spans="2:8" hidden="1" x14ac:dyDescent="0.3">
      <c r="B108" s="27" t="s">
        <v>212</v>
      </c>
      <c r="C108" s="27" t="s">
        <v>231</v>
      </c>
      <c r="D108" s="27" t="s">
        <v>232</v>
      </c>
      <c r="E108" s="29" t="s">
        <v>26</v>
      </c>
      <c r="F108" s="51"/>
      <c r="G108" s="29">
        <v>4500</v>
      </c>
      <c r="H108" s="62">
        <f t="shared" si="2"/>
        <v>0</v>
      </c>
    </row>
    <row r="109" spans="2:8" hidden="1" x14ac:dyDescent="0.3">
      <c r="B109" s="27" t="s">
        <v>212</v>
      </c>
      <c r="C109" s="27" t="s">
        <v>233</v>
      </c>
      <c r="D109" s="27" t="s">
        <v>234</v>
      </c>
      <c r="E109" s="29" t="s">
        <v>85</v>
      </c>
      <c r="F109" s="28"/>
      <c r="G109" s="29">
        <v>0</v>
      </c>
      <c r="H109" s="63">
        <f t="shared" si="2"/>
        <v>0</v>
      </c>
    </row>
    <row r="110" spans="2:8" hidden="1" x14ac:dyDescent="0.3">
      <c r="B110" s="27" t="s">
        <v>212</v>
      </c>
      <c r="C110" s="27" t="s">
        <v>235</v>
      </c>
      <c r="D110" s="27" t="s">
        <v>236</v>
      </c>
      <c r="E110" s="29" t="s">
        <v>71</v>
      </c>
      <c r="F110" s="28"/>
      <c r="G110" s="29">
        <v>0</v>
      </c>
      <c r="H110" s="62">
        <f t="shared" si="2"/>
        <v>0</v>
      </c>
    </row>
    <row r="111" spans="2:8" hidden="1" x14ac:dyDescent="0.3">
      <c r="B111" s="27" t="s">
        <v>237</v>
      </c>
      <c r="C111" s="27" t="s">
        <v>238</v>
      </c>
      <c r="D111" s="27" t="s">
        <v>239</v>
      </c>
      <c r="E111" s="27" t="s">
        <v>89</v>
      </c>
      <c r="F111" s="28"/>
      <c r="G111" s="29">
        <v>0</v>
      </c>
      <c r="H111" s="62">
        <f t="shared" si="2"/>
        <v>0</v>
      </c>
    </row>
    <row r="112" spans="2:8" hidden="1" x14ac:dyDescent="0.3">
      <c r="B112" s="27" t="s">
        <v>237</v>
      </c>
      <c r="C112" s="27" t="s">
        <v>240</v>
      </c>
      <c r="D112" s="27" t="s">
        <v>241</v>
      </c>
      <c r="E112" s="29" t="s">
        <v>89</v>
      </c>
      <c r="F112" s="28"/>
      <c r="G112" s="29">
        <v>0</v>
      </c>
      <c r="H112" s="62">
        <f t="shared" si="2"/>
        <v>0</v>
      </c>
    </row>
    <row r="113" spans="2:8" hidden="1" x14ac:dyDescent="0.3">
      <c r="B113" s="27" t="s">
        <v>237</v>
      </c>
      <c r="C113" s="27" t="s">
        <v>242</v>
      </c>
      <c r="D113" s="27" t="s">
        <v>243</v>
      </c>
      <c r="E113" s="27" t="s">
        <v>89</v>
      </c>
      <c r="F113" s="28"/>
      <c r="G113" s="29">
        <v>0</v>
      </c>
      <c r="H113" s="62">
        <f t="shared" si="2"/>
        <v>0</v>
      </c>
    </row>
    <row r="114" spans="2:8" hidden="1" x14ac:dyDescent="0.3">
      <c r="B114" s="27" t="s">
        <v>237</v>
      </c>
      <c r="C114" s="27" t="s">
        <v>244</v>
      </c>
      <c r="D114" s="27" t="s">
        <v>245</v>
      </c>
      <c r="E114" s="29" t="s">
        <v>89</v>
      </c>
      <c r="F114" s="28"/>
      <c r="G114" s="29">
        <v>0</v>
      </c>
      <c r="H114" s="62">
        <f t="shared" si="2"/>
        <v>0</v>
      </c>
    </row>
    <row r="115" spans="2:8" hidden="1" x14ac:dyDescent="0.3">
      <c r="B115" s="27" t="s">
        <v>237</v>
      </c>
      <c r="C115" s="27" t="s">
        <v>246</v>
      </c>
      <c r="D115" s="27" t="s">
        <v>247</v>
      </c>
      <c r="E115" s="27" t="s">
        <v>89</v>
      </c>
      <c r="F115" s="28"/>
      <c r="G115" s="29">
        <v>0</v>
      </c>
      <c r="H115" s="62">
        <f t="shared" si="2"/>
        <v>0</v>
      </c>
    </row>
    <row r="116" spans="2:8" hidden="1" x14ac:dyDescent="0.3">
      <c r="B116" s="27" t="s">
        <v>237</v>
      </c>
      <c r="C116" s="27" t="s">
        <v>248</v>
      </c>
      <c r="D116" s="27" t="s">
        <v>249</v>
      </c>
      <c r="E116" s="29" t="s">
        <v>89</v>
      </c>
      <c r="F116" s="28"/>
      <c r="G116" s="29">
        <v>0</v>
      </c>
      <c r="H116" s="62">
        <f t="shared" si="2"/>
        <v>0</v>
      </c>
    </row>
    <row r="117" spans="2:8" hidden="1" x14ac:dyDescent="0.3">
      <c r="B117" s="27" t="s">
        <v>237</v>
      </c>
      <c r="C117" s="27" t="s">
        <v>250</v>
      </c>
      <c r="D117" s="27" t="s">
        <v>251</v>
      </c>
      <c r="E117" s="27" t="s">
        <v>89</v>
      </c>
      <c r="F117" s="51"/>
      <c r="G117" s="29">
        <v>3500</v>
      </c>
      <c r="H117" s="62">
        <f t="shared" si="2"/>
        <v>0</v>
      </c>
    </row>
    <row r="118" spans="2:8" hidden="1" x14ac:dyDescent="0.3">
      <c r="B118" s="27" t="s">
        <v>237</v>
      </c>
      <c r="C118" s="27" t="s">
        <v>252</v>
      </c>
      <c r="D118" s="27" t="s">
        <v>253</v>
      </c>
      <c r="E118" s="29" t="s">
        <v>85</v>
      </c>
      <c r="F118" s="28"/>
      <c r="G118" s="29">
        <v>0</v>
      </c>
      <c r="H118" s="62">
        <f t="shared" si="2"/>
        <v>0</v>
      </c>
    </row>
    <row r="119" spans="2:8" x14ac:dyDescent="0.3">
      <c r="B119" s="27" t="s">
        <v>237</v>
      </c>
      <c r="C119" s="27" t="s">
        <v>254</v>
      </c>
      <c r="D119" s="27" t="s">
        <v>255</v>
      </c>
      <c r="E119" s="27" t="s">
        <v>85</v>
      </c>
      <c r="F119" s="51">
        <v>6</v>
      </c>
      <c r="G119" s="29">
        <v>450</v>
      </c>
      <c r="H119" s="62">
        <f t="shared" si="2"/>
        <v>2700</v>
      </c>
    </row>
    <row r="120" spans="2:8" hidden="1" x14ac:dyDescent="0.3">
      <c r="B120" s="27" t="s">
        <v>237</v>
      </c>
      <c r="C120" s="27" t="s">
        <v>256</v>
      </c>
      <c r="D120" s="27" t="s">
        <v>257</v>
      </c>
      <c r="E120" s="29" t="s">
        <v>85</v>
      </c>
      <c r="F120" s="28"/>
      <c r="G120" s="29">
        <v>0</v>
      </c>
      <c r="H120" s="62">
        <f t="shared" ref="H120:H134" si="3">G120*F120</f>
        <v>0</v>
      </c>
    </row>
    <row r="121" spans="2:8" hidden="1" x14ac:dyDescent="0.3">
      <c r="B121" s="27" t="s">
        <v>258</v>
      </c>
      <c r="C121" s="27" t="s">
        <v>259</v>
      </c>
      <c r="D121" s="27" t="s">
        <v>260</v>
      </c>
      <c r="E121" s="27" t="s">
        <v>261</v>
      </c>
      <c r="F121" s="28"/>
      <c r="G121" s="29">
        <v>0</v>
      </c>
      <c r="H121" s="62">
        <f t="shared" si="3"/>
        <v>0</v>
      </c>
    </row>
    <row r="122" spans="2:8" hidden="1" x14ac:dyDescent="0.3">
      <c r="B122" s="27" t="s">
        <v>258</v>
      </c>
      <c r="C122" s="27" t="s">
        <v>262</v>
      </c>
      <c r="D122" s="27" t="s">
        <v>263</v>
      </c>
      <c r="E122" s="29" t="s">
        <v>261</v>
      </c>
      <c r="F122" s="28"/>
      <c r="G122" s="29">
        <v>0</v>
      </c>
      <c r="H122" s="62">
        <f t="shared" si="3"/>
        <v>0</v>
      </c>
    </row>
    <row r="123" spans="2:8" hidden="1" x14ac:dyDescent="0.3">
      <c r="B123" s="27" t="s">
        <v>258</v>
      </c>
      <c r="C123" s="27" t="s">
        <v>264</v>
      </c>
      <c r="D123" s="27" t="s">
        <v>265</v>
      </c>
      <c r="E123" s="27" t="s">
        <v>261</v>
      </c>
      <c r="F123" s="28"/>
      <c r="G123" s="29">
        <v>0</v>
      </c>
      <c r="H123" s="62">
        <f t="shared" si="3"/>
        <v>0</v>
      </c>
    </row>
    <row r="124" spans="2:8" hidden="1" x14ac:dyDescent="0.3">
      <c r="B124" s="27" t="s">
        <v>258</v>
      </c>
      <c r="C124" s="27" t="s">
        <v>266</v>
      </c>
      <c r="D124" s="27" t="s">
        <v>267</v>
      </c>
      <c r="E124" s="29" t="s">
        <v>261</v>
      </c>
      <c r="F124" s="28"/>
      <c r="G124" s="29">
        <v>0</v>
      </c>
      <c r="H124" s="62">
        <f t="shared" si="3"/>
        <v>0</v>
      </c>
    </row>
    <row r="125" spans="2:8" hidden="1" x14ac:dyDescent="0.3">
      <c r="B125" s="27" t="s">
        <v>258</v>
      </c>
      <c r="C125" s="27" t="s">
        <v>268</v>
      </c>
      <c r="D125" s="27" t="s">
        <v>269</v>
      </c>
      <c r="E125" s="27" t="s">
        <v>261</v>
      </c>
      <c r="F125" s="28"/>
      <c r="G125" s="29">
        <v>0</v>
      </c>
      <c r="H125" s="62">
        <f t="shared" si="3"/>
        <v>0</v>
      </c>
    </row>
    <row r="126" spans="2:8" hidden="1" x14ac:dyDescent="0.3">
      <c r="B126" s="27" t="s">
        <v>258</v>
      </c>
      <c r="C126" s="27" t="s">
        <v>270</v>
      </c>
      <c r="D126" s="27" t="s">
        <v>271</v>
      </c>
      <c r="E126" s="29" t="s">
        <v>261</v>
      </c>
      <c r="F126" s="28"/>
      <c r="G126" s="29">
        <v>0</v>
      </c>
      <c r="H126" s="62">
        <f t="shared" si="3"/>
        <v>0</v>
      </c>
    </row>
    <row r="127" spans="2:8" hidden="1" x14ac:dyDescent="0.3">
      <c r="B127" s="27" t="s">
        <v>258</v>
      </c>
      <c r="C127" s="27" t="s">
        <v>272</v>
      </c>
      <c r="D127" s="27" t="s">
        <v>273</v>
      </c>
      <c r="E127" s="27" t="s">
        <v>261</v>
      </c>
      <c r="F127" s="28"/>
      <c r="G127" s="29">
        <v>0</v>
      </c>
      <c r="H127" s="63">
        <f t="shared" si="3"/>
        <v>0</v>
      </c>
    </row>
    <row r="128" spans="2:8" hidden="1" x14ac:dyDescent="0.3">
      <c r="B128" s="27" t="s">
        <v>258</v>
      </c>
      <c r="C128" s="27" t="s">
        <v>274</v>
      </c>
      <c r="D128" s="27" t="s">
        <v>275</v>
      </c>
      <c r="E128" s="29" t="s">
        <v>261</v>
      </c>
      <c r="F128" s="28"/>
      <c r="G128" s="29">
        <v>0</v>
      </c>
      <c r="H128" s="62">
        <f t="shared" si="3"/>
        <v>0</v>
      </c>
    </row>
    <row r="129" spans="2:8" hidden="1" x14ac:dyDescent="0.3">
      <c r="B129" s="27" t="s">
        <v>258</v>
      </c>
      <c r="C129" s="27" t="s">
        <v>276</v>
      </c>
      <c r="D129" s="27" t="s">
        <v>277</v>
      </c>
      <c r="E129" s="27" t="s">
        <v>261</v>
      </c>
      <c r="F129" s="28"/>
      <c r="G129" s="29">
        <v>0</v>
      </c>
      <c r="H129" s="62">
        <f t="shared" si="3"/>
        <v>0</v>
      </c>
    </row>
    <row r="130" spans="2:8" hidden="1" x14ac:dyDescent="0.3">
      <c r="B130" s="27" t="s">
        <v>258</v>
      </c>
      <c r="C130" s="27" t="s">
        <v>278</v>
      </c>
      <c r="D130" s="27" t="s">
        <v>279</v>
      </c>
      <c r="E130" s="29" t="s">
        <v>261</v>
      </c>
      <c r="F130" s="28"/>
      <c r="G130" s="29">
        <v>0</v>
      </c>
      <c r="H130" s="62">
        <f t="shared" si="3"/>
        <v>0</v>
      </c>
    </row>
    <row r="131" spans="2:8" hidden="1" x14ac:dyDescent="0.3">
      <c r="B131" s="27" t="s">
        <v>258</v>
      </c>
      <c r="C131" s="27" t="s">
        <v>280</v>
      </c>
      <c r="D131" s="27" t="s">
        <v>281</v>
      </c>
      <c r="E131" s="27" t="s">
        <v>261</v>
      </c>
      <c r="F131" s="28"/>
      <c r="G131" s="29">
        <v>0</v>
      </c>
      <c r="H131" s="62">
        <f t="shared" si="3"/>
        <v>0</v>
      </c>
    </row>
    <row r="132" spans="2:8" hidden="1" x14ac:dyDescent="0.3">
      <c r="B132" s="27" t="s">
        <v>258</v>
      </c>
      <c r="C132" s="27" t="s">
        <v>282</v>
      </c>
      <c r="D132" s="27" t="s">
        <v>283</v>
      </c>
      <c r="E132" s="29" t="s">
        <v>261</v>
      </c>
      <c r="F132" s="28"/>
      <c r="G132" s="29">
        <v>0</v>
      </c>
      <c r="H132" s="62">
        <f t="shared" si="3"/>
        <v>0</v>
      </c>
    </row>
    <row r="133" spans="2:8" hidden="1" x14ac:dyDescent="0.3">
      <c r="B133" s="27" t="s">
        <v>258</v>
      </c>
      <c r="C133" s="27" t="s">
        <v>284</v>
      </c>
      <c r="D133" s="27" t="s">
        <v>285</v>
      </c>
      <c r="E133" s="27" t="s">
        <v>261</v>
      </c>
      <c r="F133" s="28"/>
      <c r="G133" s="29">
        <v>0</v>
      </c>
      <c r="H133" s="62">
        <f t="shared" si="3"/>
        <v>0</v>
      </c>
    </row>
    <row r="134" spans="2:8" hidden="1" x14ac:dyDescent="0.3">
      <c r="B134" s="27" t="s">
        <v>258</v>
      </c>
      <c r="C134" s="27" t="s">
        <v>286</v>
      </c>
      <c r="D134" s="27" t="s">
        <v>287</v>
      </c>
      <c r="E134" s="29" t="s">
        <v>261</v>
      </c>
      <c r="F134" s="28"/>
      <c r="G134" s="29">
        <v>0</v>
      </c>
      <c r="H134" s="64">
        <f t="shared" si="3"/>
        <v>0</v>
      </c>
    </row>
    <row r="135" spans="2:8" hidden="1" x14ac:dyDescent="0.3">
      <c r="B135" s="27" t="s">
        <v>258</v>
      </c>
      <c r="C135" s="27" t="s">
        <v>288</v>
      </c>
      <c r="D135" s="27" t="s">
        <v>289</v>
      </c>
      <c r="E135" s="27" t="s">
        <v>261</v>
      </c>
      <c r="F135" s="28"/>
      <c r="G135" s="29">
        <v>0</v>
      </c>
      <c r="H135" s="64">
        <f t="shared" ref="H135:H198" si="4">G135*F135</f>
        <v>0</v>
      </c>
    </row>
    <row r="136" spans="2:8" hidden="1" x14ac:dyDescent="0.3">
      <c r="B136" s="27" t="s">
        <v>258</v>
      </c>
      <c r="C136" s="27" t="s">
        <v>290</v>
      </c>
      <c r="D136" s="27" t="s">
        <v>291</v>
      </c>
      <c r="E136" s="29" t="s">
        <v>261</v>
      </c>
      <c r="F136" s="28"/>
      <c r="G136" s="29">
        <v>0</v>
      </c>
      <c r="H136" s="64">
        <f t="shared" si="4"/>
        <v>0</v>
      </c>
    </row>
    <row r="137" spans="2:8" hidden="1" x14ac:dyDescent="0.3">
      <c r="B137" s="27" t="s">
        <v>258</v>
      </c>
      <c r="C137" s="27" t="s">
        <v>292</v>
      </c>
      <c r="D137" s="27" t="s">
        <v>293</v>
      </c>
      <c r="E137" s="27" t="s">
        <v>261</v>
      </c>
      <c r="F137" s="28"/>
      <c r="G137" s="29">
        <v>0</v>
      </c>
      <c r="H137" s="64">
        <f t="shared" si="4"/>
        <v>0</v>
      </c>
    </row>
    <row r="138" spans="2:8" hidden="1" x14ac:dyDescent="0.3">
      <c r="B138" s="27" t="s">
        <v>258</v>
      </c>
      <c r="C138" s="27" t="s">
        <v>294</v>
      </c>
      <c r="D138" s="27" t="s">
        <v>295</v>
      </c>
      <c r="E138" s="29" t="s">
        <v>261</v>
      </c>
      <c r="F138" s="28"/>
      <c r="G138" s="29">
        <v>0</v>
      </c>
      <c r="H138" s="64">
        <f t="shared" si="4"/>
        <v>0</v>
      </c>
    </row>
    <row r="139" spans="2:8" hidden="1" x14ac:dyDescent="0.3">
      <c r="B139" s="27" t="s">
        <v>258</v>
      </c>
      <c r="C139" s="27" t="s">
        <v>296</v>
      </c>
      <c r="D139" s="27" t="s">
        <v>297</v>
      </c>
      <c r="E139" s="27" t="s">
        <v>85</v>
      </c>
      <c r="F139" s="28"/>
      <c r="G139" s="29">
        <v>0</v>
      </c>
      <c r="H139" s="64">
        <f t="shared" si="4"/>
        <v>0</v>
      </c>
    </row>
    <row r="140" spans="2:8" hidden="1" x14ac:dyDescent="0.3">
      <c r="B140" s="27" t="s">
        <v>258</v>
      </c>
      <c r="C140" s="27" t="s">
        <v>298</v>
      </c>
      <c r="D140" s="27" t="s">
        <v>299</v>
      </c>
      <c r="E140" s="29" t="s">
        <v>85</v>
      </c>
      <c r="F140" s="28"/>
      <c r="G140" s="29">
        <v>0</v>
      </c>
      <c r="H140" s="64">
        <f t="shared" si="4"/>
        <v>0</v>
      </c>
    </row>
    <row r="141" spans="2:8" hidden="1" x14ac:dyDescent="0.3">
      <c r="B141" s="27" t="s">
        <v>258</v>
      </c>
      <c r="C141" s="27" t="s">
        <v>300</v>
      </c>
      <c r="D141" s="27" t="s">
        <v>301</v>
      </c>
      <c r="E141" s="27" t="s">
        <v>85</v>
      </c>
      <c r="F141" s="28"/>
      <c r="G141" s="29">
        <v>0</v>
      </c>
      <c r="H141" s="64">
        <f t="shared" si="4"/>
        <v>0</v>
      </c>
    </row>
    <row r="142" spans="2:8" hidden="1" x14ac:dyDescent="0.3">
      <c r="B142" s="27" t="s">
        <v>258</v>
      </c>
      <c r="C142" s="27" t="s">
        <v>302</v>
      </c>
      <c r="D142" s="27" t="s">
        <v>303</v>
      </c>
      <c r="E142" s="29" t="s">
        <v>85</v>
      </c>
      <c r="F142" s="28"/>
      <c r="G142" s="29">
        <v>0</v>
      </c>
      <c r="H142" s="64">
        <f t="shared" si="4"/>
        <v>0</v>
      </c>
    </row>
    <row r="143" spans="2:8" hidden="1" x14ac:dyDescent="0.3">
      <c r="B143" s="27" t="s">
        <v>258</v>
      </c>
      <c r="C143" s="27" t="s">
        <v>304</v>
      </c>
      <c r="D143" s="27" t="s">
        <v>305</v>
      </c>
      <c r="E143" s="27" t="s">
        <v>85</v>
      </c>
      <c r="F143" s="28"/>
      <c r="G143" s="29">
        <v>0</v>
      </c>
      <c r="H143" s="64">
        <f t="shared" si="4"/>
        <v>0</v>
      </c>
    </row>
    <row r="144" spans="2:8" hidden="1" x14ac:dyDescent="0.3">
      <c r="B144" s="27" t="s">
        <v>258</v>
      </c>
      <c r="C144" s="27" t="s">
        <v>306</v>
      </c>
      <c r="D144" s="27" t="s">
        <v>307</v>
      </c>
      <c r="E144" s="29" t="s">
        <v>85</v>
      </c>
      <c r="F144" s="28"/>
      <c r="G144" s="29">
        <v>0</v>
      </c>
      <c r="H144" s="64">
        <f t="shared" si="4"/>
        <v>0</v>
      </c>
    </row>
    <row r="145" spans="2:8" hidden="1" x14ac:dyDescent="0.3">
      <c r="B145" s="27" t="s">
        <v>258</v>
      </c>
      <c r="C145" s="27" t="s">
        <v>308</v>
      </c>
      <c r="D145" s="27" t="s">
        <v>309</v>
      </c>
      <c r="E145" s="27" t="s">
        <v>85</v>
      </c>
      <c r="F145" s="28"/>
      <c r="G145" s="29">
        <v>0</v>
      </c>
      <c r="H145" s="64">
        <f t="shared" si="4"/>
        <v>0</v>
      </c>
    </row>
    <row r="146" spans="2:8" hidden="1" x14ac:dyDescent="0.3">
      <c r="B146" s="27" t="s">
        <v>258</v>
      </c>
      <c r="C146" s="27" t="s">
        <v>310</v>
      </c>
      <c r="D146" s="27" t="s">
        <v>311</v>
      </c>
      <c r="E146" s="29" t="s">
        <v>85</v>
      </c>
      <c r="F146" s="28"/>
      <c r="G146" s="29">
        <v>0</v>
      </c>
      <c r="H146" s="64">
        <f t="shared" si="4"/>
        <v>0</v>
      </c>
    </row>
    <row r="147" spans="2:8" hidden="1" x14ac:dyDescent="0.3">
      <c r="B147" s="27" t="s">
        <v>258</v>
      </c>
      <c r="C147" s="27" t="s">
        <v>312</v>
      </c>
      <c r="D147" s="27" t="s">
        <v>313</v>
      </c>
      <c r="E147" s="27" t="s">
        <v>85</v>
      </c>
      <c r="F147" s="28"/>
      <c r="G147" s="29">
        <v>0</v>
      </c>
      <c r="H147" s="64">
        <f t="shared" si="4"/>
        <v>0</v>
      </c>
    </row>
    <row r="148" spans="2:8" hidden="1" x14ac:dyDescent="0.3">
      <c r="B148" s="27" t="s">
        <v>258</v>
      </c>
      <c r="C148" s="27" t="s">
        <v>314</v>
      </c>
      <c r="D148" s="27" t="s">
        <v>315</v>
      </c>
      <c r="E148" s="29" t="s">
        <v>85</v>
      </c>
      <c r="F148" s="28"/>
      <c r="G148" s="29">
        <v>0</v>
      </c>
      <c r="H148" s="64">
        <f t="shared" si="4"/>
        <v>0</v>
      </c>
    </row>
    <row r="149" spans="2:8" hidden="1" x14ac:dyDescent="0.3">
      <c r="B149" s="27" t="s">
        <v>258</v>
      </c>
      <c r="C149" s="27" t="s">
        <v>316</v>
      </c>
      <c r="D149" s="27" t="s">
        <v>317</v>
      </c>
      <c r="E149" s="27" t="s">
        <v>85</v>
      </c>
      <c r="F149" s="28"/>
      <c r="G149" s="29">
        <v>0</v>
      </c>
      <c r="H149" s="64">
        <f t="shared" si="4"/>
        <v>0</v>
      </c>
    </row>
    <row r="150" spans="2:8" hidden="1" x14ac:dyDescent="0.3">
      <c r="B150" s="27" t="s">
        <v>258</v>
      </c>
      <c r="C150" s="27" t="s">
        <v>318</v>
      </c>
      <c r="D150" s="27" t="s">
        <v>319</v>
      </c>
      <c r="E150" s="29" t="s">
        <v>85</v>
      </c>
      <c r="F150" s="28"/>
      <c r="G150" s="29">
        <v>0</v>
      </c>
      <c r="H150" s="64">
        <f t="shared" si="4"/>
        <v>0</v>
      </c>
    </row>
    <row r="151" spans="2:8" hidden="1" x14ac:dyDescent="0.3">
      <c r="B151" s="27" t="s">
        <v>258</v>
      </c>
      <c r="C151" s="27" t="s">
        <v>320</v>
      </c>
      <c r="D151" s="27" t="s">
        <v>321</v>
      </c>
      <c r="E151" s="27" t="s">
        <v>85</v>
      </c>
      <c r="F151" s="28"/>
      <c r="G151" s="29">
        <v>0</v>
      </c>
      <c r="H151" s="64">
        <f t="shared" si="4"/>
        <v>0</v>
      </c>
    </row>
    <row r="152" spans="2:8" hidden="1" x14ac:dyDescent="0.3">
      <c r="B152" s="27" t="s">
        <v>258</v>
      </c>
      <c r="C152" s="27" t="s">
        <v>322</v>
      </c>
      <c r="D152" s="27" t="s">
        <v>323</v>
      </c>
      <c r="E152" s="29" t="s">
        <v>85</v>
      </c>
      <c r="F152" s="28"/>
      <c r="G152" s="29">
        <v>0</v>
      </c>
      <c r="H152" s="64">
        <f t="shared" si="4"/>
        <v>0</v>
      </c>
    </row>
    <row r="153" spans="2:8" hidden="1" x14ac:dyDescent="0.3">
      <c r="B153" s="27" t="s">
        <v>258</v>
      </c>
      <c r="C153" s="27" t="s">
        <v>324</v>
      </c>
      <c r="D153" s="27" t="s">
        <v>325</v>
      </c>
      <c r="E153" s="27" t="s">
        <v>85</v>
      </c>
      <c r="F153" s="28"/>
      <c r="G153" s="29">
        <v>0</v>
      </c>
      <c r="H153" s="64">
        <f t="shared" si="4"/>
        <v>0</v>
      </c>
    </row>
    <row r="154" spans="2:8" hidden="1" x14ac:dyDescent="0.3">
      <c r="B154" s="27" t="s">
        <v>258</v>
      </c>
      <c r="C154" s="27" t="s">
        <v>326</v>
      </c>
      <c r="D154" s="27" t="s">
        <v>327</v>
      </c>
      <c r="E154" s="29" t="s">
        <v>85</v>
      </c>
      <c r="F154" s="28"/>
      <c r="G154" s="29">
        <v>0</v>
      </c>
      <c r="H154" s="64">
        <f t="shared" si="4"/>
        <v>0</v>
      </c>
    </row>
    <row r="155" spans="2:8" hidden="1" x14ac:dyDescent="0.3">
      <c r="B155" s="27" t="s">
        <v>258</v>
      </c>
      <c r="C155" s="27" t="s">
        <v>328</v>
      </c>
      <c r="D155" s="27" t="s">
        <v>329</v>
      </c>
      <c r="E155" s="27" t="s">
        <v>85</v>
      </c>
      <c r="F155" s="28"/>
      <c r="G155" s="29">
        <v>0</v>
      </c>
      <c r="H155" s="64">
        <f t="shared" si="4"/>
        <v>0</v>
      </c>
    </row>
    <row r="156" spans="2:8" hidden="1" x14ac:dyDescent="0.3">
      <c r="B156" s="27" t="s">
        <v>258</v>
      </c>
      <c r="C156" s="27" t="s">
        <v>330</v>
      </c>
      <c r="D156" s="27" t="s">
        <v>331</v>
      </c>
      <c r="E156" s="29" t="s">
        <v>85</v>
      </c>
      <c r="F156" s="28"/>
      <c r="G156" s="29">
        <v>0</v>
      </c>
      <c r="H156" s="64">
        <f t="shared" si="4"/>
        <v>0</v>
      </c>
    </row>
    <row r="157" spans="2:8" hidden="1" x14ac:dyDescent="0.3">
      <c r="B157" s="27" t="s">
        <v>332</v>
      </c>
      <c r="C157" s="27" t="s">
        <v>333</v>
      </c>
      <c r="D157" s="27" t="s">
        <v>334</v>
      </c>
      <c r="E157" s="27" t="s">
        <v>85</v>
      </c>
      <c r="F157" s="28"/>
      <c r="G157" s="29">
        <v>0</v>
      </c>
      <c r="H157" s="64">
        <f t="shared" si="4"/>
        <v>0</v>
      </c>
    </row>
    <row r="158" spans="2:8" hidden="1" x14ac:dyDescent="0.3">
      <c r="B158" s="27" t="s">
        <v>332</v>
      </c>
      <c r="C158" s="27" t="s">
        <v>335</v>
      </c>
      <c r="D158" s="27" t="s">
        <v>336</v>
      </c>
      <c r="E158" s="29" t="s">
        <v>85</v>
      </c>
      <c r="F158" s="28"/>
      <c r="G158" s="29">
        <v>0</v>
      </c>
      <c r="H158" s="64">
        <f t="shared" si="4"/>
        <v>0</v>
      </c>
    </row>
    <row r="159" spans="2:8" hidden="1" x14ac:dyDescent="0.3">
      <c r="B159" s="27" t="s">
        <v>337</v>
      </c>
      <c r="C159" s="27" t="s">
        <v>338</v>
      </c>
      <c r="D159" s="27" t="s">
        <v>339</v>
      </c>
      <c r="E159" s="27" t="s">
        <v>26</v>
      </c>
      <c r="F159" s="28"/>
      <c r="G159" s="29">
        <v>0</v>
      </c>
      <c r="H159" s="64">
        <f t="shared" si="4"/>
        <v>0</v>
      </c>
    </row>
    <row r="160" spans="2:8" hidden="1" x14ac:dyDescent="0.3">
      <c r="B160" s="27" t="s">
        <v>337</v>
      </c>
      <c r="C160" s="27" t="s">
        <v>340</v>
      </c>
      <c r="D160" s="27" t="s">
        <v>341</v>
      </c>
      <c r="E160" s="29" t="s">
        <v>26</v>
      </c>
      <c r="F160" s="28"/>
      <c r="G160" s="29">
        <v>0</v>
      </c>
      <c r="H160" s="64">
        <f t="shared" si="4"/>
        <v>0</v>
      </c>
    </row>
    <row r="161" spans="2:8" hidden="1" x14ac:dyDescent="0.3">
      <c r="B161" s="27" t="s">
        <v>337</v>
      </c>
      <c r="C161" s="27" t="s">
        <v>342</v>
      </c>
      <c r="D161" s="27" t="s">
        <v>343</v>
      </c>
      <c r="E161" s="27" t="s">
        <v>26</v>
      </c>
      <c r="F161" s="28"/>
      <c r="G161" s="29">
        <v>0</v>
      </c>
      <c r="H161" s="64">
        <f t="shared" si="4"/>
        <v>0</v>
      </c>
    </row>
    <row r="162" spans="2:8" hidden="1" x14ac:dyDescent="0.3">
      <c r="B162" s="27" t="s">
        <v>337</v>
      </c>
      <c r="C162" s="27" t="s">
        <v>344</v>
      </c>
      <c r="D162" s="27" t="s">
        <v>345</v>
      </c>
      <c r="E162" s="29" t="s">
        <v>26</v>
      </c>
      <c r="F162" s="28"/>
      <c r="G162" s="29">
        <v>0</v>
      </c>
      <c r="H162" s="64">
        <f t="shared" si="4"/>
        <v>0</v>
      </c>
    </row>
    <row r="163" spans="2:8" hidden="1" x14ac:dyDescent="0.3">
      <c r="B163" s="27" t="s">
        <v>337</v>
      </c>
      <c r="C163" s="27" t="s">
        <v>346</v>
      </c>
      <c r="D163" s="27" t="s">
        <v>347</v>
      </c>
      <c r="E163" s="27" t="s">
        <v>26</v>
      </c>
      <c r="F163" s="28"/>
      <c r="G163" s="29">
        <v>0</v>
      </c>
      <c r="H163" s="64">
        <f t="shared" si="4"/>
        <v>0</v>
      </c>
    </row>
    <row r="164" spans="2:8" hidden="1" x14ac:dyDescent="0.3">
      <c r="B164" s="27" t="s">
        <v>337</v>
      </c>
      <c r="C164" s="27" t="s">
        <v>348</v>
      </c>
      <c r="D164" s="27" t="s">
        <v>349</v>
      </c>
      <c r="E164" s="29" t="s">
        <v>26</v>
      </c>
      <c r="F164" s="28"/>
      <c r="G164" s="29">
        <v>0</v>
      </c>
      <c r="H164" s="64">
        <f t="shared" si="4"/>
        <v>0</v>
      </c>
    </row>
    <row r="165" spans="2:8" hidden="1" x14ac:dyDescent="0.3">
      <c r="B165" s="27" t="s">
        <v>337</v>
      </c>
      <c r="C165" s="27" t="s">
        <v>350</v>
      </c>
      <c r="D165" s="27" t="s">
        <v>351</v>
      </c>
      <c r="E165" s="27" t="s">
        <v>26</v>
      </c>
      <c r="F165" s="28"/>
      <c r="G165" s="29">
        <v>0</v>
      </c>
      <c r="H165" s="64">
        <f t="shared" si="4"/>
        <v>0</v>
      </c>
    </row>
    <row r="166" spans="2:8" hidden="1" x14ac:dyDescent="0.3">
      <c r="B166" s="27" t="s">
        <v>337</v>
      </c>
      <c r="C166" s="27" t="s">
        <v>352</v>
      </c>
      <c r="D166" s="27" t="s">
        <v>353</v>
      </c>
      <c r="E166" s="29" t="s">
        <v>26</v>
      </c>
      <c r="F166" s="28"/>
      <c r="G166" s="29">
        <v>0</v>
      </c>
      <c r="H166" s="64">
        <f t="shared" si="4"/>
        <v>0</v>
      </c>
    </row>
    <row r="167" spans="2:8" hidden="1" x14ac:dyDescent="0.3">
      <c r="B167" s="27" t="s">
        <v>337</v>
      </c>
      <c r="C167" s="27" t="s">
        <v>354</v>
      </c>
      <c r="D167" s="27" t="s">
        <v>355</v>
      </c>
      <c r="E167" s="27" t="s">
        <v>26</v>
      </c>
      <c r="F167" s="28"/>
      <c r="G167" s="29">
        <v>0</v>
      </c>
      <c r="H167" s="64">
        <f t="shared" si="4"/>
        <v>0</v>
      </c>
    </row>
    <row r="168" spans="2:8" hidden="1" x14ac:dyDescent="0.3">
      <c r="B168" s="27" t="s">
        <v>337</v>
      </c>
      <c r="C168" s="27" t="s">
        <v>356</v>
      </c>
      <c r="D168" s="27" t="s">
        <v>357</v>
      </c>
      <c r="E168" s="29" t="s">
        <v>26</v>
      </c>
      <c r="F168" s="28"/>
      <c r="G168" s="29">
        <v>0</v>
      </c>
      <c r="H168" s="64">
        <f t="shared" si="4"/>
        <v>0</v>
      </c>
    </row>
    <row r="169" spans="2:8" hidden="1" x14ac:dyDescent="0.3">
      <c r="B169" s="27" t="s">
        <v>337</v>
      </c>
      <c r="C169" s="27" t="s">
        <v>358</v>
      </c>
      <c r="D169" s="27" t="s">
        <v>359</v>
      </c>
      <c r="E169" s="27" t="s">
        <v>26</v>
      </c>
      <c r="F169" s="28"/>
      <c r="G169" s="29">
        <v>0</v>
      </c>
      <c r="H169" s="64">
        <f t="shared" si="4"/>
        <v>0</v>
      </c>
    </row>
    <row r="170" spans="2:8" hidden="1" x14ac:dyDescent="0.3">
      <c r="B170" s="27" t="s">
        <v>337</v>
      </c>
      <c r="C170" s="27" t="s">
        <v>360</v>
      </c>
      <c r="D170" s="27" t="s">
        <v>361</v>
      </c>
      <c r="E170" s="29" t="s">
        <v>26</v>
      </c>
      <c r="F170" s="28"/>
      <c r="G170" s="29">
        <v>0</v>
      </c>
      <c r="H170" s="64">
        <f t="shared" si="4"/>
        <v>0</v>
      </c>
    </row>
    <row r="171" spans="2:8" hidden="1" x14ac:dyDescent="0.3">
      <c r="B171" s="27" t="s">
        <v>337</v>
      </c>
      <c r="C171" s="27" t="s">
        <v>362</v>
      </c>
      <c r="D171" s="27" t="s">
        <v>363</v>
      </c>
      <c r="E171" s="27" t="s">
        <v>26</v>
      </c>
      <c r="F171" s="28"/>
      <c r="G171" s="29">
        <v>0</v>
      </c>
      <c r="H171" s="64">
        <f t="shared" si="4"/>
        <v>0</v>
      </c>
    </row>
    <row r="172" spans="2:8" hidden="1" x14ac:dyDescent="0.3">
      <c r="B172" s="27" t="s">
        <v>337</v>
      </c>
      <c r="C172" s="27" t="s">
        <v>364</v>
      </c>
      <c r="D172" s="27" t="s">
        <v>365</v>
      </c>
      <c r="E172" s="29" t="s">
        <v>26</v>
      </c>
      <c r="F172" s="28"/>
      <c r="G172" s="29">
        <v>0</v>
      </c>
      <c r="H172" s="64">
        <f t="shared" si="4"/>
        <v>0</v>
      </c>
    </row>
    <row r="173" spans="2:8" hidden="1" x14ac:dyDescent="0.3">
      <c r="B173" s="27" t="s">
        <v>337</v>
      </c>
      <c r="C173" s="27" t="s">
        <v>366</v>
      </c>
      <c r="D173" s="27" t="s">
        <v>367</v>
      </c>
      <c r="E173" s="27" t="s">
        <v>26</v>
      </c>
      <c r="F173" s="28"/>
      <c r="G173" s="29">
        <v>0</v>
      </c>
      <c r="H173" s="64">
        <f t="shared" si="4"/>
        <v>0</v>
      </c>
    </row>
    <row r="174" spans="2:8" hidden="1" x14ac:dyDescent="0.3">
      <c r="B174" s="27" t="s">
        <v>337</v>
      </c>
      <c r="C174" s="27" t="s">
        <v>368</v>
      </c>
      <c r="D174" s="27" t="s">
        <v>369</v>
      </c>
      <c r="E174" s="29" t="s">
        <v>26</v>
      </c>
      <c r="F174" s="28"/>
      <c r="G174" s="29">
        <v>0</v>
      </c>
      <c r="H174" s="64">
        <f t="shared" si="4"/>
        <v>0</v>
      </c>
    </row>
    <row r="175" spans="2:8" hidden="1" x14ac:dyDescent="0.3">
      <c r="B175" s="27" t="s">
        <v>337</v>
      </c>
      <c r="C175" s="27" t="s">
        <v>370</v>
      </c>
      <c r="D175" s="27" t="s">
        <v>371</v>
      </c>
      <c r="E175" s="27" t="s">
        <v>26</v>
      </c>
      <c r="F175" s="28"/>
      <c r="G175" s="29">
        <v>0</v>
      </c>
      <c r="H175" s="64">
        <f t="shared" si="4"/>
        <v>0</v>
      </c>
    </row>
    <row r="176" spans="2:8" hidden="1" x14ac:dyDescent="0.3">
      <c r="B176" s="27" t="s">
        <v>337</v>
      </c>
      <c r="C176" s="27" t="s">
        <v>372</v>
      </c>
      <c r="D176" s="27" t="s">
        <v>373</v>
      </c>
      <c r="E176" s="29" t="s">
        <v>26</v>
      </c>
      <c r="F176" s="28"/>
      <c r="G176" s="29">
        <v>0</v>
      </c>
      <c r="H176" s="64">
        <f t="shared" si="4"/>
        <v>0</v>
      </c>
    </row>
    <row r="177" spans="2:8" hidden="1" x14ac:dyDescent="0.3">
      <c r="B177" s="27" t="s">
        <v>337</v>
      </c>
      <c r="C177" s="27" t="s">
        <v>374</v>
      </c>
      <c r="D177" s="27" t="s">
        <v>375</v>
      </c>
      <c r="E177" s="27" t="s">
        <v>26</v>
      </c>
      <c r="F177" s="28"/>
      <c r="G177" s="29">
        <v>0</v>
      </c>
      <c r="H177" s="64">
        <f t="shared" si="4"/>
        <v>0</v>
      </c>
    </row>
    <row r="178" spans="2:8" hidden="1" x14ac:dyDescent="0.3">
      <c r="B178" s="27" t="s">
        <v>337</v>
      </c>
      <c r="C178" s="27" t="s">
        <v>376</v>
      </c>
      <c r="D178" s="27" t="s">
        <v>377</v>
      </c>
      <c r="E178" s="29" t="s">
        <v>26</v>
      </c>
      <c r="F178" s="28"/>
      <c r="G178" s="29">
        <v>0</v>
      </c>
      <c r="H178" s="64">
        <f t="shared" si="4"/>
        <v>0</v>
      </c>
    </row>
    <row r="179" spans="2:8" hidden="1" x14ac:dyDescent="0.3">
      <c r="B179" s="27" t="s">
        <v>378</v>
      </c>
      <c r="C179" s="27" t="s">
        <v>379</v>
      </c>
      <c r="D179" s="27" t="s">
        <v>380</v>
      </c>
      <c r="E179" s="27" t="s">
        <v>26</v>
      </c>
      <c r="F179" s="28"/>
      <c r="G179" s="29">
        <v>0</v>
      </c>
      <c r="H179" s="64">
        <f t="shared" si="4"/>
        <v>0</v>
      </c>
    </row>
    <row r="180" spans="2:8" hidden="1" x14ac:dyDescent="0.3">
      <c r="B180" s="27" t="s">
        <v>378</v>
      </c>
      <c r="C180" s="27" t="s">
        <v>381</v>
      </c>
      <c r="D180" s="27" t="s">
        <v>382</v>
      </c>
      <c r="E180" s="29" t="s">
        <v>383</v>
      </c>
      <c r="F180" s="28"/>
      <c r="G180" s="29">
        <v>0</v>
      </c>
      <c r="H180" s="64">
        <f t="shared" si="4"/>
        <v>0</v>
      </c>
    </row>
    <row r="181" spans="2:8" hidden="1" x14ac:dyDescent="0.3">
      <c r="B181" s="27" t="s">
        <v>378</v>
      </c>
      <c r="C181" s="27" t="s">
        <v>384</v>
      </c>
      <c r="D181" s="27" t="s">
        <v>385</v>
      </c>
      <c r="E181" s="27" t="s">
        <v>383</v>
      </c>
      <c r="F181" s="28"/>
      <c r="G181" s="29">
        <v>0</v>
      </c>
      <c r="H181" s="64">
        <f t="shared" si="4"/>
        <v>0</v>
      </c>
    </row>
    <row r="182" spans="2:8" hidden="1" x14ac:dyDescent="0.3">
      <c r="B182" s="27" t="s">
        <v>378</v>
      </c>
      <c r="C182" s="27" t="s">
        <v>386</v>
      </c>
      <c r="D182" s="27" t="s">
        <v>387</v>
      </c>
      <c r="E182" s="29" t="s">
        <v>383</v>
      </c>
      <c r="F182" s="28"/>
      <c r="G182" s="29">
        <v>0</v>
      </c>
      <c r="H182" s="64">
        <f t="shared" si="4"/>
        <v>0</v>
      </c>
    </row>
    <row r="183" spans="2:8" hidden="1" x14ac:dyDescent="0.3">
      <c r="B183" s="27" t="s">
        <v>378</v>
      </c>
      <c r="C183" s="27" t="s">
        <v>388</v>
      </c>
      <c r="D183" s="27" t="s">
        <v>389</v>
      </c>
      <c r="E183" s="27" t="s">
        <v>383</v>
      </c>
      <c r="F183" s="28"/>
      <c r="G183" s="29">
        <v>0</v>
      </c>
      <c r="H183" s="64">
        <f t="shared" si="4"/>
        <v>0</v>
      </c>
    </row>
    <row r="184" spans="2:8" hidden="1" x14ac:dyDescent="0.3">
      <c r="B184" s="27" t="s">
        <v>378</v>
      </c>
      <c r="C184" s="27" t="s">
        <v>390</v>
      </c>
      <c r="D184" s="27" t="s">
        <v>391</v>
      </c>
      <c r="E184" s="29" t="s">
        <v>383</v>
      </c>
      <c r="F184" s="28"/>
      <c r="G184" s="29">
        <v>0</v>
      </c>
      <c r="H184" s="64">
        <f t="shared" si="4"/>
        <v>0</v>
      </c>
    </row>
    <row r="185" spans="2:8" hidden="1" x14ac:dyDescent="0.3">
      <c r="B185" s="27" t="s">
        <v>392</v>
      </c>
      <c r="C185" s="27" t="s">
        <v>393</v>
      </c>
      <c r="D185" s="27" t="s">
        <v>394</v>
      </c>
      <c r="E185" s="27" t="s">
        <v>74</v>
      </c>
      <c r="F185" s="28"/>
      <c r="G185" s="29">
        <v>0</v>
      </c>
      <c r="H185" s="64">
        <f t="shared" si="4"/>
        <v>0</v>
      </c>
    </row>
    <row r="186" spans="2:8" hidden="1" x14ac:dyDescent="0.3">
      <c r="B186" s="27" t="s">
        <v>392</v>
      </c>
      <c r="C186" s="27" t="s">
        <v>395</v>
      </c>
      <c r="D186" s="27" t="s">
        <v>396</v>
      </c>
      <c r="E186" s="29" t="s">
        <v>74</v>
      </c>
      <c r="F186" s="28"/>
      <c r="G186" s="29">
        <v>0</v>
      </c>
      <c r="H186" s="64">
        <f t="shared" si="4"/>
        <v>0</v>
      </c>
    </row>
    <row r="187" spans="2:8" hidden="1" x14ac:dyDescent="0.3">
      <c r="B187" s="27" t="s">
        <v>392</v>
      </c>
      <c r="C187" s="27" t="s">
        <v>397</v>
      </c>
      <c r="D187" s="27" t="s">
        <v>398</v>
      </c>
      <c r="E187" s="27" t="s">
        <v>74</v>
      </c>
      <c r="F187" s="28"/>
      <c r="G187" s="29">
        <v>0</v>
      </c>
      <c r="H187" s="64">
        <f t="shared" si="4"/>
        <v>0</v>
      </c>
    </row>
    <row r="188" spans="2:8" hidden="1" x14ac:dyDescent="0.3">
      <c r="B188" s="27" t="s">
        <v>392</v>
      </c>
      <c r="C188" s="27" t="s">
        <v>399</v>
      </c>
      <c r="D188" s="27" t="s">
        <v>400</v>
      </c>
      <c r="E188" s="29" t="s">
        <v>74</v>
      </c>
      <c r="F188" s="28"/>
      <c r="G188" s="29">
        <v>0</v>
      </c>
      <c r="H188" s="64">
        <f t="shared" si="4"/>
        <v>0</v>
      </c>
    </row>
    <row r="189" spans="2:8" hidden="1" x14ac:dyDescent="0.3">
      <c r="B189" s="27" t="s">
        <v>392</v>
      </c>
      <c r="C189" s="27" t="s">
        <v>401</v>
      </c>
      <c r="D189" s="27" t="s">
        <v>402</v>
      </c>
      <c r="E189" s="27" t="s">
        <v>74</v>
      </c>
      <c r="F189" s="28"/>
      <c r="G189" s="29">
        <v>0</v>
      </c>
      <c r="H189" s="64">
        <f t="shared" si="4"/>
        <v>0</v>
      </c>
    </row>
    <row r="190" spans="2:8" hidden="1" x14ac:dyDescent="0.3">
      <c r="B190" s="27" t="s">
        <v>392</v>
      </c>
      <c r="C190" s="27" t="s">
        <v>403</v>
      </c>
      <c r="D190" s="27" t="s">
        <v>404</v>
      </c>
      <c r="E190" s="29" t="s">
        <v>74</v>
      </c>
      <c r="F190" s="28"/>
      <c r="G190" s="29">
        <v>0</v>
      </c>
      <c r="H190" s="64">
        <f t="shared" si="4"/>
        <v>0</v>
      </c>
    </row>
    <row r="191" spans="2:8" hidden="1" x14ac:dyDescent="0.3">
      <c r="B191" s="27" t="s">
        <v>392</v>
      </c>
      <c r="C191" s="27" t="s">
        <v>405</v>
      </c>
      <c r="D191" s="27" t="s">
        <v>406</v>
      </c>
      <c r="E191" s="27" t="s">
        <v>74</v>
      </c>
      <c r="F191" s="28"/>
      <c r="G191" s="29">
        <v>0</v>
      </c>
      <c r="H191" s="64">
        <f t="shared" si="4"/>
        <v>0</v>
      </c>
    </row>
    <row r="192" spans="2:8" hidden="1" x14ac:dyDescent="0.3">
      <c r="B192" s="27" t="s">
        <v>392</v>
      </c>
      <c r="C192" s="27" t="s">
        <v>407</v>
      </c>
      <c r="D192" s="27" t="s">
        <v>408</v>
      </c>
      <c r="E192" s="29" t="s">
        <v>74</v>
      </c>
      <c r="F192" s="28"/>
      <c r="G192" s="29">
        <v>0</v>
      </c>
      <c r="H192" s="64">
        <f t="shared" si="4"/>
        <v>0</v>
      </c>
    </row>
    <row r="193" spans="2:8" hidden="1" x14ac:dyDescent="0.3">
      <c r="B193" s="27" t="s">
        <v>392</v>
      </c>
      <c r="C193" s="27" t="s">
        <v>409</v>
      </c>
      <c r="D193" s="27" t="s">
        <v>410</v>
      </c>
      <c r="E193" s="27" t="s">
        <v>74</v>
      </c>
      <c r="F193" s="28"/>
      <c r="G193" s="29">
        <v>0</v>
      </c>
      <c r="H193" s="64">
        <f t="shared" si="4"/>
        <v>0</v>
      </c>
    </row>
    <row r="194" spans="2:8" hidden="1" x14ac:dyDescent="0.3">
      <c r="B194" s="27" t="s">
        <v>392</v>
      </c>
      <c r="C194" s="27" t="s">
        <v>411</v>
      </c>
      <c r="D194" s="27" t="s">
        <v>412</v>
      </c>
      <c r="E194" s="29" t="s">
        <v>74</v>
      </c>
      <c r="F194" s="28"/>
      <c r="G194" s="29">
        <v>0</v>
      </c>
      <c r="H194" s="64">
        <f t="shared" si="4"/>
        <v>0</v>
      </c>
    </row>
    <row r="195" spans="2:8" hidden="1" x14ac:dyDescent="0.3">
      <c r="B195" s="27" t="s">
        <v>392</v>
      </c>
      <c r="C195" s="27" t="s">
        <v>413</v>
      </c>
      <c r="D195" s="27" t="s">
        <v>414</v>
      </c>
      <c r="E195" s="27" t="s">
        <v>74</v>
      </c>
      <c r="F195" s="28"/>
      <c r="G195" s="29">
        <v>0</v>
      </c>
      <c r="H195" s="64">
        <f t="shared" si="4"/>
        <v>0</v>
      </c>
    </row>
    <row r="196" spans="2:8" hidden="1" x14ac:dyDescent="0.3">
      <c r="B196" s="27" t="s">
        <v>392</v>
      </c>
      <c r="C196" s="27" t="s">
        <v>415</v>
      </c>
      <c r="D196" s="27" t="s">
        <v>416</v>
      </c>
      <c r="E196" s="29" t="s">
        <v>74</v>
      </c>
      <c r="F196" s="28"/>
      <c r="G196" s="29">
        <v>0</v>
      </c>
      <c r="H196" s="64">
        <f t="shared" si="4"/>
        <v>0</v>
      </c>
    </row>
    <row r="197" spans="2:8" hidden="1" x14ac:dyDescent="0.3">
      <c r="B197" s="27" t="s">
        <v>392</v>
      </c>
      <c r="C197" s="27" t="s">
        <v>417</v>
      </c>
      <c r="D197" s="27" t="s">
        <v>418</v>
      </c>
      <c r="E197" s="27" t="s">
        <v>74</v>
      </c>
      <c r="F197" s="28"/>
      <c r="G197" s="29">
        <v>0</v>
      </c>
      <c r="H197" s="64">
        <f t="shared" si="4"/>
        <v>0</v>
      </c>
    </row>
    <row r="198" spans="2:8" hidden="1" x14ac:dyDescent="0.3">
      <c r="B198" s="27" t="s">
        <v>392</v>
      </c>
      <c r="C198" s="27" t="s">
        <v>419</v>
      </c>
      <c r="D198" s="27" t="s">
        <v>420</v>
      </c>
      <c r="E198" s="29" t="s">
        <v>421</v>
      </c>
      <c r="F198" s="28"/>
      <c r="G198" s="29">
        <v>0</v>
      </c>
      <c r="H198" s="64">
        <f t="shared" si="4"/>
        <v>0</v>
      </c>
    </row>
    <row r="199" spans="2:8" hidden="1" x14ac:dyDescent="0.3">
      <c r="B199" s="27" t="s">
        <v>392</v>
      </c>
      <c r="C199" s="27" t="s">
        <v>422</v>
      </c>
      <c r="D199" s="27" t="s">
        <v>423</v>
      </c>
      <c r="E199" s="27" t="s">
        <v>421</v>
      </c>
      <c r="F199" s="28"/>
      <c r="G199" s="29">
        <v>0</v>
      </c>
      <c r="H199" s="64">
        <f t="shared" ref="H199:H262" si="5">G199*F199</f>
        <v>0</v>
      </c>
    </row>
    <row r="200" spans="2:8" hidden="1" x14ac:dyDescent="0.3">
      <c r="B200" s="27" t="s">
        <v>392</v>
      </c>
      <c r="C200" s="27" t="s">
        <v>424</v>
      </c>
      <c r="D200" s="27" t="s">
        <v>425</v>
      </c>
      <c r="E200" s="29" t="s">
        <v>421</v>
      </c>
      <c r="F200" s="28"/>
      <c r="G200" s="29">
        <v>0</v>
      </c>
      <c r="H200" s="64">
        <f t="shared" si="5"/>
        <v>0</v>
      </c>
    </row>
    <row r="201" spans="2:8" hidden="1" x14ac:dyDescent="0.3">
      <c r="B201" s="27" t="s">
        <v>392</v>
      </c>
      <c r="C201" s="27" t="s">
        <v>426</v>
      </c>
      <c r="D201" s="27" t="s">
        <v>427</v>
      </c>
      <c r="E201" s="27" t="s">
        <v>74</v>
      </c>
      <c r="F201" s="28"/>
      <c r="G201" s="29">
        <v>0</v>
      </c>
      <c r="H201" s="64">
        <f t="shared" si="5"/>
        <v>0</v>
      </c>
    </row>
    <row r="202" spans="2:8" hidden="1" x14ac:dyDescent="0.3">
      <c r="B202" s="27" t="s">
        <v>392</v>
      </c>
      <c r="C202" s="27" t="s">
        <v>428</v>
      </c>
      <c r="D202" s="27" t="s">
        <v>429</v>
      </c>
      <c r="E202" s="29" t="s">
        <v>74</v>
      </c>
      <c r="F202" s="28"/>
      <c r="G202" s="29">
        <v>0</v>
      </c>
      <c r="H202" s="64">
        <f t="shared" si="5"/>
        <v>0</v>
      </c>
    </row>
    <row r="203" spans="2:8" hidden="1" x14ac:dyDescent="0.3">
      <c r="B203" s="27" t="s">
        <v>392</v>
      </c>
      <c r="C203" s="27" t="s">
        <v>430</v>
      </c>
      <c r="D203" s="27" t="s">
        <v>431</v>
      </c>
      <c r="E203" s="27" t="s">
        <v>74</v>
      </c>
      <c r="F203" s="28"/>
      <c r="G203" s="29">
        <v>0</v>
      </c>
      <c r="H203" s="64">
        <f t="shared" si="5"/>
        <v>0</v>
      </c>
    </row>
    <row r="204" spans="2:8" hidden="1" x14ac:dyDescent="0.3">
      <c r="B204" s="27" t="s">
        <v>392</v>
      </c>
      <c r="C204" s="27" t="s">
        <v>432</v>
      </c>
      <c r="D204" s="27" t="s">
        <v>433</v>
      </c>
      <c r="E204" s="29" t="s">
        <v>74</v>
      </c>
      <c r="F204" s="28"/>
      <c r="G204" s="29">
        <v>0</v>
      </c>
      <c r="H204" s="64">
        <f t="shared" si="5"/>
        <v>0</v>
      </c>
    </row>
    <row r="205" spans="2:8" hidden="1" x14ac:dyDescent="0.3">
      <c r="B205" s="27" t="s">
        <v>392</v>
      </c>
      <c r="C205" s="27" t="s">
        <v>434</v>
      </c>
      <c r="D205" s="27" t="s">
        <v>435</v>
      </c>
      <c r="E205" s="27" t="s">
        <v>26</v>
      </c>
      <c r="F205" s="28"/>
      <c r="G205" s="29">
        <v>0</v>
      </c>
      <c r="H205" s="64">
        <f t="shared" si="5"/>
        <v>0</v>
      </c>
    </row>
    <row r="206" spans="2:8" hidden="1" x14ac:dyDescent="0.3">
      <c r="B206" s="27" t="s">
        <v>392</v>
      </c>
      <c r="C206" s="27" t="s">
        <v>436</v>
      </c>
      <c r="D206" s="27" t="s">
        <v>437</v>
      </c>
      <c r="E206" s="29" t="s">
        <v>26</v>
      </c>
      <c r="F206" s="28"/>
      <c r="G206" s="29">
        <v>0</v>
      </c>
      <c r="H206" s="64">
        <f t="shared" si="5"/>
        <v>0</v>
      </c>
    </row>
    <row r="207" spans="2:8" hidden="1" x14ac:dyDescent="0.3">
      <c r="B207" s="27" t="s">
        <v>392</v>
      </c>
      <c r="C207" s="27" t="s">
        <v>438</v>
      </c>
      <c r="D207" s="27" t="s">
        <v>439</v>
      </c>
      <c r="E207" s="27" t="s">
        <v>74</v>
      </c>
      <c r="F207" s="28"/>
      <c r="G207" s="29">
        <v>0</v>
      </c>
      <c r="H207" s="64">
        <f t="shared" si="5"/>
        <v>0</v>
      </c>
    </row>
    <row r="208" spans="2:8" hidden="1" x14ac:dyDescent="0.3">
      <c r="B208" s="27" t="s">
        <v>392</v>
      </c>
      <c r="C208" s="27" t="s">
        <v>440</v>
      </c>
      <c r="D208" s="27" t="s">
        <v>441</v>
      </c>
      <c r="E208" s="29" t="s">
        <v>421</v>
      </c>
      <c r="F208" s="28"/>
      <c r="G208" s="29">
        <v>0</v>
      </c>
      <c r="H208" s="64">
        <f t="shared" si="5"/>
        <v>0</v>
      </c>
    </row>
    <row r="209" spans="2:8" hidden="1" x14ac:dyDescent="0.3">
      <c r="B209" s="27" t="s">
        <v>392</v>
      </c>
      <c r="C209" s="27" t="s">
        <v>442</v>
      </c>
      <c r="D209" s="27" t="s">
        <v>443</v>
      </c>
      <c r="E209" s="27" t="s">
        <v>26</v>
      </c>
      <c r="F209" s="28"/>
      <c r="G209" s="29">
        <v>0</v>
      </c>
      <c r="H209" s="64">
        <f t="shared" si="5"/>
        <v>0</v>
      </c>
    </row>
    <row r="210" spans="2:8" hidden="1" x14ac:dyDescent="0.3">
      <c r="B210" s="27" t="s">
        <v>392</v>
      </c>
      <c r="C210" s="27" t="s">
        <v>444</v>
      </c>
      <c r="D210" s="27" t="s">
        <v>445</v>
      </c>
      <c r="E210" s="29" t="s">
        <v>26</v>
      </c>
      <c r="F210" s="28"/>
      <c r="G210" s="29">
        <v>0</v>
      </c>
      <c r="H210" s="64">
        <f t="shared" si="5"/>
        <v>0</v>
      </c>
    </row>
    <row r="211" spans="2:8" hidden="1" x14ac:dyDescent="0.3">
      <c r="B211" s="27" t="s">
        <v>392</v>
      </c>
      <c r="C211" s="27" t="s">
        <v>446</v>
      </c>
      <c r="D211" s="27" t="s">
        <v>447</v>
      </c>
      <c r="E211" s="27" t="s">
        <v>26</v>
      </c>
      <c r="F211" s="28"/>
      <c r="G211" s="29">
        <v>0</v>
      </c>
      <c r="H211" s="64">
        <f t="shared" si="5"/>
        <v>0</v>
      </c>
    </row>
    <row r="212" spans="2:8" hidden="1" x14ac:dyDescent="0.3">
      <c r="B212" s="27" t="s">
        <v>392</v>
      </c>
      <c r="C212" s="27" t="s">
        <v>448</v>
      </c>
      <c r="D212" s="27" t="s">
        <v>449</v>
      </c>
      <c r="E212" s="29" t="s">
        <v>450</v>
      </c>
      <c r="F212" s="28"/>
      <c r="G212" s="29">
        <v>0</v>
      </c>
      <c r="H212" s="64">
        <f t="shared" si="5"/>
        <v>0</v>
      </c>
    </row>
    <row r="213" spans="2:8" hidden="1" x14ac:dyDescent="0.3">
      <c r="B213" s="27" t="s">
        <v>392</v>
      </c>
      <c r="C213" s="27" t="s">
        <v>451</v>
      </c>
      <c r="D213" s="27" t="s">
        <v>452</v>
      </c>
      <c r="E213" s="27" t="s">
        <v>450</v>
      </c>
      <c r="F213" s="28"/>
      <c r="G213" s="29">
        <v>0</v>
      </c>
      <c r="H213" s="64">
        <f t="shared" si="5"/>
        <v>0</v>
      </c>
    </row>
    <row r="214" spans="2:8" hidden="1" x14ac:dyDescent="0.3">
      <c r="B214" s="27" t="s">
        <v>392</v>
      </c>
      <c r="C214" s="27" t="s">
        <v>453</v>
      </c>
      <c r="D214" s="27" t="s">
        <v>454</v>
      </c>
      <c r="E214" s="29" t="s">
        <v>450</v>
      </c>
      <c r="F214" s="28"/>
      <c r="G214" s="29"/>
      <c r="H214" s="64">
        <f t="shared" si="5"/>
        <v>0</v>
      </c>
    </row>
    <row r="215" spans="2:8" hidden="1" x14ac:dyDescent="0.3">
      <c r="B215" s="27" t="s">
        <v>392</v>
      </c>
      <c r="C215" s="27" t="s">
        <v>455</v>
      </c>
      <c r="D215" s="27" t="s">
        <v>456</v>
      </c>
      <c r="E215" s="27" t="s">
        <v>450</v>
      </c>
      <c r="F215" s="28"/>
      <c r="G215" s="29">
        <v>0</v>
      </c>
      <c r="H215" s="64">
        <f t="shared" si="5"/>
        <v>0</v>
      </c>
    </row>
    <row r="216" spans="2:8" hidden="1" x14ac:dyDescent="0.3">
      <c r="B216" s="27" t="s">
        <v>392</v>
      </c>
      <c r="C216" s="27" t="s">
        <v>457</v>
      </c>
      <c r="D216" s="27" t="s">
        <v>458</v>
      </c>
      <c r="E216" s="29" t="s">
        <v>52</v>
      </c>
      <c r="F216" s="28"/>
      <c r="G216" s="29">
        <v>0</v>
      </c>
      <c r="H216" s="64">
        <f t="shared" si="5"/>
        <v>0</v>
      </c>
    </row>
    <row r="217" spans="2:8" hidden="1" x14ac:dyDescent="0.3">
      <c r="B217" s="27" t="s">
        <v>392</v>
      </c>
      <c r="C217" s="27" t="s">
        <v>459</v>
      </c>
      <c r="D217" s="27" t="s">
        <v>460</v>
      </c>
      <c r="E217" s="27" t="s">
        <v>52</v>
      </c>
      <c r="F217" s="28"/>
      <c r="G217" s="29">
        <v>0</v>
      </c>
      <c r="H217" s="64">
        <f t="shared" si="5"/>
        <v>0</v>
      </c>
    </row>
    <row r="218" spans="2:8" hidden="1" x14ac:dyDescent="0.3">
      <c r="B218" s="27" t="s">
        <v>392</v>
      </c>
      <c r="C218" s="27" t="s">
        <v>461</v>
      </c>
      <c r="D218" s="27" t="s">
        <v>462</v>
      </c>
      <c r="E218" s="29" t="s">
        <v>52</v>
      </c>
      <c r="F218" s="28"/>
      <c r="G218" s="29">
        <v>0</v>
      </c>
      <c r="H218" s="64">
        <f t="shared" si="5"/>
        <v>0</v>
      </c>
    </row>
    <row r="219" spans="2:8" hidden="1" x14ac:dyDescent="0.3">
      <c r="B219" s="27" t="s">
        <v>392</v>
      </c>
      <c r="C219" s="27" t="s">
        <v>463</v>
      </c>
      <c r="D219" s="27" t="s">
        <v>464</v>
      </c>
      <c r="E219" s="27" t="s">
        <v>52</v>
      </c>
      <c r="F219" s="28"/>
      <c r="G219" s="29">
        <v>0</v>
      </c>
      <c r="H219" s="64">
        <f t="shared" si="5"/>
        <v>0</v>
      </c>
    </row>
    <row r="220" spans="2:8" hidden="1" x14ac:dyDescent="0.3">
      <c r="B220" s="27" t="s">
        <v>392</v>
      </c>
      <c r="C220" s="27" t="s">
        <v>465</v>
      </c>
      <c r="D220" s="27" t="s">
        <v>466</v>
      </c>
      <c r="E220" s="29" t="s">
        <v>26</v>
      </c>
      <c r="F220" s="28"/>
      <c r="G220" s="29">
        <v>0</v>
      </c>
      <c r="H220" s="64">
        <f t="shared" si="5"/>
        <v>0</v>
      </c>
    </row>
    <row r="221" spans="2:8" hidden="1" x14ac:dyDescent="0.3">
      <c r="B221" s="27" t="s">
        <v>392</v>
      </c>
      <c r="C221" s="27" t="s">
        <v>467</v>
      </c>
      <c r="D221" s="27" t="s">
        <v>468</v>
      </c>
      <c r="E221" s="27" t="s">
        <v>71</v>
      </c>
      <c r="F221" s="28"/>
      <c r="G221" s="29">
        <v>0</v>
      </c>
      <c r="H221" s="64">
        <f t="shared" si="5"/>
        <v>0</v>
      </c>
    </row>
    <row r="222" spans="2:8" hidden="1" x14ac:dyDescent="0.3">
      <c r="B222" s="27" t="s">
        <v>392</v>
      </c>
      <c r="C222" s="27" t="s">
        <v>469</v>
      </c>
      <c r="D222" s="27" t="s">
        <v>470</v>
      </c>
      <c r="E222" s="29" t="s">
        <v>52</v>
      </c>
      <c r="F222" s="28"/>
      <c r="G222" s="29">
        <v>0</v>
      </c>
      <c r="H222" s="64">
        <f t="shared" si="5"/>
        <v>0</v>
      </c>
    </row>
    <row r="223" spans="2:8" hidden="1" x14ac:dyDescent="0.3">
      <c r="B223" s="27" t="s">
        <v>392</v>
      </c>
      <c r="C223" s="27" t="s">
        <v>471</v>
      </c>
      <c r="D223" s="27" t="s">
        <v>472</v>
      </c>
      <c r="E223" s="27" t="s">
        <v>52</v>
      </c>
      <c r="F223" s="28"/>
      <c r="G223" s="29">
        <v>0</v>
      </c>
      <c r="H223" s="64">
        <f t="shared" si="5"/>
        <v>0</v>
      </c>
    </row>
    <row r="224" spans="2:8" hidden="1" x14ac:dyDescent="0.3">
      <c r="B224" s="27" t="s">
        <v>392</v>
      </c>
      <c r="C224" s="27" t="s">
        <v>473</v>
      </c>
      <c r="D224" s="27" t="s">
        <v>474</v>
      </c>
      <c r="E224" s="29" t="s">
        <v>52</v>
      </c>
      <c r="F224" s="28"/>
      <c r="G224" s="29">
        <v>0</v>
      </c>
      <c r="H224" s="64">
        <f t="shared" si="5"/>
        <v>0</v>
      </c>
    </row>
    <row r="225" spans="2:8" hidden="1" x14ac:dyDescent="0.3">
      <c r="B225" s="27" t="s">
        <v>392</v>
      </c>
      <c r="C225" s="27" t="s">
        <v>475</v>
      </c>
      <c r="D225" s="27" t="s">
        <v>476</v>
      </c>
      <c r="E225" s="27" t="s">
        <v>421</v>
      </c>
      <c r="F225" s="28"/>
      <c r="G225" s="29">
        <v>0</v>
      </c>
      <c r="H225" s="64">
        <f t="shared" si="5"/>
        <v>0</v>
      </c>
    </row>
    <row r="226" spans="2:8" hidden="1" x14ac:dyDescent="0.3">
      <c r="B226" s="27" t="s">
        <v>392</v>
      </c>
      <c r="C226" s="27" t="s">
        <v>477</v>
      </c>
      <c r="D226" s="27" t="s">
        <v>478</v>
      </c>
      <c r="E226" s="29" t="s">
        <v>52</v>
      </c>
      <c r="F226" s="28"/>
      <c r="G226" s="29">
        <v>0</v>
      </c>
      <c r="H226" s="64">
        <f t="shared" si="5"/>
        <v>0</v>
      </c>
    </row>
    <row r="227" spans="2:8" hidden="1" x14ac:dyDescent="0.3">
      <c r="B227" s="27" t="s">
        <v>392</v>
      </c>
      <c r="C227" s="27" t="s">
        <v>479</v>
      </c>
      <c r="D227" s="27" t="s">
        <v>480</v>
      </c>
      <c r="E227" s="27" t="s">
        <v>85</v>
      </c>
      <c r="F227" s="28"/>
      <c r="G227" s="29">
        <v>0</v>
      </c>
      <c r="H227" s="64">
        <f t="shared" si="5"/>
        <v>0</v>
      </c>
    </row>
    <row r="228" spans="2:8" hidden="1" x14ac:dyDescent="0.3">
      <c r="B228" s="27" t="s">
        <v>392</v>
      </c>
      <c r="C228" s="27" t="s">
        <v>481</v>
      </c>
      <c r="D228" s="27" t="s">
        <v>482</v>
      </c>
      <c r="E228" s="29" t="s">
        <v>85</v>
      </c>
      <c r="F228" s="28"/>
      <c r="G228" s="29">
        <v>0</v>
      </c>
      <c r="H228" s="64">
        <f t="shared" si="5"/>
        <v>0</v>
      </c>
    </row>
    <row r="229" spans="2:8" hidden="1" x14ac:dyDescent="0.3">
      <c r="B229" s="27" t="s">
        <v>392</v>
      </c>
      <c r="C229" s="27" t="s">
        <v>483</v>
      </c>
      <c r="D229" s="27" t="s">
        <v>484</v>
      </c>
      <c r="E229" s="27" t="s">
        <v>26</v>
      </c>
      <c r="F229" s="28"/>
      <c r="G229" s="29">
        <v>0</v>
      </c>
      <c r="H229" s="64">
        <f t="shared" si="5"/>
        <v>0</v>
      </c>
    </row>
    <row r="230" spans="2:8" hidden="1" x14ac:dyDescent="0.3">
      <c r="B230" s="27" t="s">
        <v>392</v>
      </c>
      <c r="C230" s="27" t="s">
        <v>485</v>
      </c>
      <c r="D230" s="27" t="s">
        <v>486</v>
      </c>
      <c r="E230" s="29" t="s">
        <v>26</v>
      </c>
      <c r="F230" s="28"/>
      <c r="G230" s="29">
        <v>0</v>
      </c>
      <c r="H230" s="64">
        <f t="shared" si="5"/>
        <v>0</v>
      </c>
    </row>
    <row r="231" spans="2:8" hidden="1" x14ac:dyDescent="0.3">
      <c r="B231" s="27" t="s">
        <v>392</v>
      </c>
      <c r="C231" s="27" t="s">
        <v>487</v>
      </c>
      <c r="D231" s="27" t="s">
        <v>488</v>
      </c>
      <c r="E231" s="27" t="s">
        <v>26</v>
      </c>
      <c r="F231" s="28"/>
      <c r="G231" s="29">
        <v>0</v>
      </c>
      <c r="H231" s="64">
        <f t="shared" si="5"/>
        <v>0</v>
      </c>
    </row>
    <row r="232" spans="2:8" hidden="1" x14ac:dyDescent="0.3">
      <c r="B232" s="27" t="s">
        <v>392</v>
      </c>
      <c r="C232" s="27" t="s">
        <v>489</v>
      </c>
      <c r="D232" s="27" t="s">
        <v>490</v>
      </c>
      <c r="E232" s="29" t="s">
        <v>26</v>
      </c>
      <c r="F232" s="28"/>
      <c r="G232" s="29">
        <v>0</v>
      </c>
      <c r="H232" s="64">
        <f t="shared" si="5"/>
        <v>0</v>
      </c>
    </row>
    <row r="233" spans="2:8" hidden="1" x14ac:dyDescent="0.3">
      <c r="B233" s="27" t="s">
        <v>392</v>
      </c>
      <c r="C233" s="27" t="s">
        <v>491</v>
      </c>
      <c r="D233" s="27" t="s">
        <v>492</v>
      </c>
      <c r="E233" s="27" t="s">
        <v>26</v>
      </c>
      <c r="F233" s="28"/>
      <c r="G233" s="29">
        <v>0</v>
      </c>
      <c r="H233" s="64">
        <f t="shared" si="5"/>
        <v>0</v>
      </c>
    </row>
    <row r="234" spans="2:8" hidden="1" x14ac:dyDescent="0.3">
      <c r="B234" s="27" t="s">
        <v>392</v>
      </c>
      <c r="C234" s="27" t="s">
        <v>493</v>
      </c>
      <c r="D234" s="27" t="s">
        <v>494</v>
      </c>
      <c r="E234" s="29" t="s">
        <v>26</v>
      </c>
      <c r="F234" s="28"/>
      <c r="G234" s="29">
        <v>0</v>
      </c>
      <c r="H234" s="64">
        <f t="shared" si="5"/>
        <v>0</v>
      </c>
    </row>
    <row r="235" spans="2:8" hidden="1" x14ac:dyDescent="0.3">
      <c r="B235" s="27" t="s">
        <v>392</v>
      </c>
      <c r="C235" s="27" t="s">
        <v>495</v>
      </c>
      <c r="D235" s="27" t="s">
        <v>496</v>
      </c>
      <c r="E235" s="27" t="s">
        <v>26</v>
      </c>
      <c r="F235" s="28"/>
      <c r="G235" s="29">
        <v>0</v>
      </c>
      <c r="H235" s="64">
        <f t="shared" si="5"/>
        <v>0</v>
      </c>
    </row>
    <row r="236" spans="2:8" hidden="1" x14ac:dyDescent="0.3">
      <c r="B236" s="27" t="s">
        <v>392</v>
      </c>
      <c r="C236" s="27" t="s">
        <v>497</v>
      </c>
      <c r="D236" s="27" t="s">
        <v>498</v>
      </c>
      <c r="E236" s="29" t="s">
        <v>450</v>
      </c>
      <c r="F236" s="28"/>
      <c r="G236" s="29">
        <v>0</v>
      </c>
      <c r="H236" s="64">
        <f t="shared" si="5"/>
        <v>0</v>
      </c>
    </row>
    <row r="237" spans="2:8" hidden="1" x14ac:dyDescent="0.3">
      <c r="B237" s="27" t="s">
        <v>392</v>
      </c>
      <c r="C237" s="27" t="s">
        <v>499</v>
      </c>
      <c r="D237" s="27" t="s">
        <v>500</v>
      </c>
      <c r="E237" s="27" t="s">
        <v>26</v>
      </c>
      <c r="F237" s="28"/>
      <c r="G237" s="29">
        <v>0</v>
      </c>
      <c r="H237" s="64">
        <f t="shared" si="5"/>
        <v>0</v>
      </c>
    </row>
    <row r="238" spans="2:8" hidden="1" x14ac:dyDescent="0.3">
      <c r="B238" s="27" t="s">
        <v>392</v>
      </c>
      <c r="C238" s="27" t="s">
        <v>501</v>
      </c>
      <c r="D238" s="27" t="s">
        <v>502</v>
      </c>
      <c r="E238" s="29" t="s">
        <v>26</v>
      </c>
      <c r="F238" s="28"/>
      <c r="G238" s="29">
        <v>0</v>
      </c>
      <c r="H238" s="64">
        <f t="shared" si="5"/>
        <v>0</v>
      </c>
    </row>
    <row r="239" spans="2:8" hidden="1" x14ac:dyDescent="0.3">
      <c r="B239" s="27" t="s">
        <v>392</v>
      </c>
      <c r="C239" s="27" t="s">
        <v>503</v>
      </c>
      <c r="D239" s="27" t="s">
        <v>504</v>
      </c>
      <c r="E239" s="27" t="s">
        <v>26</v>
      </c>
      <c r="F239" s="28"/>
      <c r="G239" s="29">
        <v>0</v>
      </c>
      <c r="H239" s="64">
        <f t="shared" si="5"/>
        <v>0</v>
      </c>
    </row>
    <row r="240" spans="2:8" hidden="1" x14ac:dyDescent="0.3">
      <c r="B240" s="27" t="s">
        <v>392</v>
      </c>
      <c r="C240" s="27" t="s">
        <v>505</v>
      </c>
      <c r="D240" s="27" t="s">
        <v>506</v>
      </c>
      <c r="E240" s="29" t="s">
        <v>74</v>
      </c>
      <c r="F240" s="28"/>
      <c r="G240" s="29">
        <v>0</v>
      </c>
      <c r="H240" s="64">
        <f t="shared" si="5"/>
        <v>0</v>
      </c>
    </row>
    <row r="241" spans="2:8" hidden="1" x14ac:dyDescent="0.3">
      <c r="B241" s="27" t="s">
        <v>392</v>
      </c>
      <c r="C241" s="27" t="s">
        <v>507</v>
      </c>
      <c r="D241" s="27" t="s">
        <v>508</v>
      </c>
      <c r="E241" s="27" t="s">
        <v>421</v>
      </c>
      <c r="F241" s="28"/>
      <c r="G241" s="29">
        <v>0</v>
      </c>
      <c r="H241" s="64">
        <f t="shared" si="5"/>
        <v>0</v>
      </c>
    </row>
    <row r="242" spans="2:8" hidden="1" x14ac:dyDescent="0.3">
      <c r="B242" s="27" t="s">
        <v>392</v>
      </c>
      <c r="C242" s="27" t="s">
        <v>509</v>
      </c>
      <c r="D242" s="27" t="s">
        <v>510</v>
      </c>
      <c r="E242" s="29" t="s">
        <v>26</v>
      </c>
      <c r="F242" s="28"/>
      <c r="G242" s="29">
        <v>0</v>
      </c>
      <c r="H242" s="64">
        <f t="shared" si="5"/>
        <v>0</v>
      </c>
    </row>
    <row r="243" spans="2:8" hidden="1" x14ac:dyDescent="0.3">
      <c r="B243" s="27" t="s">
        <v>392</v>
      </c>
      <c r="C243" s="27" t="s">
        <v>511</v>
      </c>
      <c r="D243" s="27" t="s">
        <v>512</v>
      </c>
      <c r="E243" s="27" t="s">
        <v>421</v>
      </c>
      <c r="F243" s="28"/>
      <c r="G243" s="29">
        <v>0</v>
      </c>
      <c r="H243" s="64">
        <f t="shared" si="5"/>
        <v>0</v>
      </c>
    </row>
    <row r="244" spans="2:8" hidden="1" x14ac:dyDescent="0.3">
      <c r="B244" s="27" t="s">
        <v>392</v>
      </c>
      <c r="C244" s="27" t="s">
        <v>513</v>
      </c>
      <c r="D244" s="27" t="s">
        <v>514</v>
      </c>
      <c r="E244" s="29" t="s">
        <v>26</v>
      </c>
      <c r="F244" s="28"/>
      <c r="G244" s="29">
        <v>0</v>
      </c>
      <c r="H244" s="64">
        <f t="shared" si="5"/>
        <v>0</v>
      </c>
    </row>
    <row r="245" spans="2:8" hidden="1" x14ac:dyDescent="0.3">
      <c r="B245" s="27" t="s">
        <v>392</v>
      </c>
      <c r="C245" s="27" t="s">
        <v>515</v>
      </c>
      <c r="D245" s="27" t="s">
        <v>516</v>
      </c>
      <c r="E245" s="27" t="s">
        <v>421</v>
      </c>
      <c r="F245" s="28"/>
      <c r="G245" s="29">
        <v>0</v>
      </c>
      <c r="H245" s="64">
        <f t="shared" si="5"/>
        <v>0</v>
      </c>
    </row>
    <row r="246" spans="2:8" hidden="1" x14ac:dyDescent="0.3">
      <c r="B246" s="27" t="s">
        <v>392</v>
      </c>
      <c r="C246" s="27" t="s">
        <v>517</v>
      </c>
      <c r="D246" s="27" t="s">
        <v>518</v>
      </c>
      <c r="E246" s="29" t="s">
        <v>26</v>
      </c>
      <c r="F246" s="28"/>
      <c r="G246" s="29">
        <v>0</v>
      </c>
      <c r="H246" s="64">
        <f t="shared" si="5"/>
        <v>0</v>
      </c>
    </row>
    <row r="247" spans="2:8" hidden="1" x14ac:dyDescent="0.3">
      <c r="B247" s="27" t="s">
        <v>519</v>
      </c>
      <c r="C247" s="27" t="s">
        <v>520</v>
      </c>
      <c r="D247" s="27" t="s">
        <v>521</v>
      </c>
      <c r="E247" s="27" t="s">
        <v>71</v>
      </c>
      <c r="F247" s="28"/>
      <c r="G247" s="29">
        <v>0</v>
      </c>
      <c r="H247" s="64">
        <f t="shared" si="5"/>
        <v>0</v>
      </c>
    </row>
    <row r="248" spans="2:8" hidden="1" x14ac:dyDescent="0.3">
      <c r="B248" s="27" t="s">
        <v>519</v>
      </c>
      <c r="C248" s="27" t="s">
        <v>522</v>
      </c>
      <c r="D248" s="27" t="s">
        <v>523</v>
      </c>
      <c r="E248" s="29" t="s">
        <v>71</v>
      </c>
      <c r="F248" s="28"/>
      <c r="G248" s="29">
        <v>0</v>
      </c>
      <c r="H248" s="64">
        <f t="shared" si="5"/>
        <v>0</v>
      </c>
    </row>
    <row r="249" spans="2:8" hidden="1" x14ac:dyDescent="0.3">
      <c r="B249" s="27" t="s">
        <v>519</v>
      </c>
      <c r="C249" s="27" t="s">
        <v>524</v>
      </c>
      <c r="D249" s="27" t="s">
        <v>525</v>
      </c>
      <c r="E249" s="27" t="s">
        <v>74</v>
      </c>
      <c r="F249" s="28"/>
      <c r="G249" s="29">
        <v>0</v>
      </c>
      <c r="H249" s="64">
        <f t="shared" si="5"/>
        <v>0</v>
      </c>
    </row>
    <row r="250" spans="2:8" x14ac:dyDescent="0.3">
      <c r="B250" s="27" t="s">
        <v>519</v>
      </c>
      <c r="C250" s="27" t="s">
        <v>526</v>
      </c>
      <c r="D250" s="27" t="s">
        <v>154</v>
      </c>
      <c r="E250" s="29" t="s">
        <v>89</v>
      </c>
      <c r="F250" s="28">
        <v>4</v>
      </c>
      <c r="G250" s="29">
        <v>0</v>
      </c>
      <c r="H250" s="64">
        <f t="shared" si="5"/>
        <v>0</v>
      </c>
    </row>
    <row r="251" spans="2:8" hidden="1" x14ac:dyDescent="0.3">
      <c r="B251" s="27" t="s">
        <v>519</v>
      </c>
      <c r="C251" s="27" t="s">
        <v>527</v>
      </c>
      <c r="D251" s="27" t="s">
        <v>528</v>
      </c>
      <c r="E251" s="27" t="s">
        <v>89</v>
      </c>
      <c r="F251" s="28"/>
      <c r="G251" s="29">
        <v>0</v>
      </c>
      <c r="H251" s="64">
        <f t="shared" si="5"/>
        <v>0</v>
      </c>
    </row>
    <row r="252" spans="2:8" hidden="1" x14ac:dyDescent="0.3">
      <c r="B252" s="27" t="s">
        <v>519</v>
      </c>
      <c r="C252" s="27" t="s">
        <v>529</v>
      </c>
      <c r="D252" s="27" t="s">
        <v>530</v>
      </c>
      <c r="E252" s="29" t="s">
        <v>89</v>
      </c>
      <c r="F252" s="28"/>
      <c r="G252" s="29">
        <v>0</v>
      </c>
      <c r="H252" s="64">
        <f t="shared" si="5"/>
        <v>0</v>
      </c>
    </row>
    <row r="253" spans="2:8" hidden="1" x14ac:dyDescent="0.3">
      <c r="B253" s="27" t="s">
        <v>519</v>
      </c>
      <c r="C253" s="27" t="s">
        <v>531</v>
      </c>
      <c r="D253" s="27" t="s">
        <v>532</v>
      </c>
      <c r="E253" s="27" t="s">
        <v>89</v>
      </c>
      <c r="F253" s="28"/>
      <c r="G253" s="29">
        <v>0</v>
      </c>
      <c r="H253" s="64">
        <f t="shared" si="5"/>
        <v>0</v>
      </c>
    </row>
    <row r="254" spans="2:8" x14ac:dyDescent="0.3">
      <c r="B254" s="27" t="s">
        <v>519</v>
      </c>
      <c r="C254" s="27" t="s">
        <v>533</v>
      </c>
      <c r="D254" s="27" t="s">
        <v>534</v>
      </c>
      <c r="E254" s="29" t="s">
        <v>74</v>
      </c>
      <c r="F254" s="28">
        <v>220</v>
      </c>
      <c r="G254" s="29">
        <v>55</v>
      </c>
      <c r="H254" s="64">
        <f t="shared" si="5"/>
        <v>12100</v>
      </c>
    </row>
    <row r="255" spans="2:8" x14ac:dyDescent="0.3">
      <c r="B255" s="27" t="s">
        <v>519</v>
      </c>
      <c r="C255" s="27" t="s">
        <v>535</v>
      </c>
      <c r="D255" s="27" t="s">
        <v>536</v>
      </c>
      <c r="E255" s="27" t="s">
        <v>89</v>
      </c>
      <c r="F255" s="28">
        <v>3</v>
      </c>
      <c r="G255" s="29">
        <v>310</v>
      </c>
      <c r="H255" s="64">
        <f t="shared" si="5"/>
        <v>930</v>
      </c>
    </row>
    <row r="256" spans="2:8" hidden="1" x14ac:dyDescent="0.3">
      <c r="B256" s="27" t="s">
        <v>519</v>
      </c>
      <c r="C256" s="27" t="s">
        <v>537</v>
      </c>
      <c r="D256" s="27" t="s">
        <v>188</v>
      </c>
      <c r="E256" s="29" t="s">
        <v>85</v>
      </c>
      <c r="F256" s="28"/>
      <c r="G256" s="29">
        <v>0</v>
      </c>
      <c r="H256" s="64">
        <f t="shared" si="5"/>
        <v>0</v>
      </c>
    </row>
    <row r="257" spans="2:8" hidden="1" x14ac:dyDescent="0.3">
      <c r="B257" s="27" t="s">
        <v>519</v>
      </c>
      <c r="C257" s="27" t="s">
        <v>538</v>
      </c>
      <c r="D257" s="27" t="s">
        <v>190</v>
      </c>
      <c r="E257" s="27" t="s">
        <v>85</v>
      </c>
      <c r="F257" s="28"/>
      <c r="G257" s="29">
        <v>0</v>
      </c>
      <c r="H257" s="64">
        <f t="shared" si="5"/>
        <v>0</v>
      </c>
    </row>
    <row r="258" spans="2:8" hidden="1" x14ac:dyDescent="0.3">
      <c r="B258" s="27" t="s">
        <v>519</v>
      </c>
      <c r="C258" s="27" t="s">
        <v>539</v>
      </c>
      <c r="D258" s="27" t="s">
        <v>194</v>
      </c>
      <c r="E258" s="29" t="s">
        <v>85</v>
      </c>
      <c r="F258" s="28"/>
      <c r="G258" s="29">
        <v>0</v>
      </c>
      <c r="H258" s="64">
        <f t="shared" si="5"/>
        <v>0</v>
      </c>
    </row>
    <row r="259" spans="2:8" hidden="1" x14ac:dyDescent="0.3">
      <c r="B259" s="27" t="s">
        <v>519</v>
      </c>
      <c r="C259" s="27" t="s">
        <v>540</v>
      </c>
      <c r="D259" s="27" t="s">
        <v>196</v>
      </c>
      <c r="E259" s="27" t="s">
        <v>85</v>
      </c>
      <c r="F259" s="28"/>
      <c r="G259" s="29">
        <v>0</v>
      </c>
      <c r="H259" s="64">
        <f t="shared" si="5"/>
        <v>0</v>
      </c>
    </row>
    <row r="260" spans="2:8" hidden="1" x14ac:dyDescent="0.3">
      <c r="B260" s="27" t="s">
        <v>519</v>
      </c>
      <c r="C260" s="27" t="s">
        <v>541</v>
      </c>
      <c r="D260" s="27" t="s">
        <v>199</v>
      </c>
      <c r="E260" s="29" t="s">
        <v>85</v>
      </c>
      <c r="F260" s="28"/>
      <c r="G260" s="29">
        <v>0</v>
      </c>
      <c r="H260" s="64">
        <f t="shared" si="5"/>
        <v>0</v>
      </c>
    </row>
    <row r="261" spans="2:8" hidden="1" x14ac:dyDescent="0.3">
      <c r="B261" s="27" t="s">
        <v>519</v>
      </c>
      <c r="C261" s="27" t="s">
        <v>542</v>
      </c>
      <c r="D261" s="27" t="s">
        <v>543</v>
      </c>
      <c r="E261" s="27" t="s">
        <v>89</v>
      </c>
      <c r="F261" s="28"/>
      <c r="G261" s="29">
        <v>0</v>
      </c>
      <c r="H261" s="64">
        <f t="shared" si="5"/>
        <v>0</v>
      </c>
    </row>
    <row r="262" spans="2:8" hidden="1" x14ac:dyDescent="0.3">
      <c r="B262" s="27" t="s">
        <v>519</v>
      </c>
      <c r="C262" s="27" t="s">
        <v>544</v>
      </c>
      <c r="D262" s="27" t="s">
        <v>201</v>
      </c>
      <c r="E262" s="29" t="s">
        <v>85</v>
      </c>
      <c r="F262" s="28"/>
      <c r="G262" s="29">
        <v>0</v>
      </c>
      <c r="H262" s="64">
        <f t="shared" si="5"/>
        <v>0</v>
      </c>
    </row>
    <row r="263" spans="2:8" hidden="1" x14ac:dyDescent="0.3">
      <c r="B263" s="27" t="s">
        <v>519</v>
      </c>
      <c r="C263" s="27" t="s">
        <v>545</v>
      </c>
      <c r="D263" s="27" t="s">
        <v>203</v>
      </c>
      <c r="E263" s="27" t="s">
        <v>85</v>
      </c>
      <c r="F263" s="28"/>
      <c r="G263" s="29">
        <v>0</v>
      </c>
      <c r="H263" s="64">
        <f t="shared" ref="H263:H272" si="6">G263*F263</f>
        <v>0</v>
      </c>
    </row>
    <row r="264" spans="2:8" hidden="1" x14ac:dyDescent="0.3">
      <c r="B264" s="27" t="s">
        <v>519</v>
      </c>
      <c r="C264" s="27" t="s">
        <v>546</v>
      </c>
      <c r="D264" s="27" t="s">
        <v>204</v>
      </c>
      <c r="E264" s="29" t="s">
        <v>85</v>
      </c>
      <c r="F264" s="28"/>
      <c r="G264" s="29">
        <v>0</v>
      </c>
      <c r="H264" s="64">
        <f t="shared" si="6"/>
        <v>0</v>
      </c>
    </row>
    <row r="265" spans="2:8" hidden="1" x14ac:dyDescent="0.3">
      <c r="B265" s="27" t="s">
        <v>519</v>
      </c>
      <c r="C265" s="27" t="s">
        <v>547</v>
      </c>
      <c r="D265" s="27" t="s">
        <v>205</v>
      </c>
      <c r="E265" s="27" t="s">
        <v>85</v>
      </c>
      <c r="F265" s="28"/>
      <c r="G265" s="29">
        <v>0</v>
      </c>
      <c r="H265" s="64">
        <f t="shared" si="6"/>
        <v>0</v>
      </c>
    </row>
    <row r="266" spans="2:8" x14ac:dyDescent="0.3">
      <c r="B266" s="27" t="s">
        <v>519</v>
      </c>
      <c r="C266" s="27" t="s">
        <v>548</v>
      </c>
      <c r="D266" s="27" t="s">
        <v>206</v>
      </c>
      <c r="E266" s="29" t="s">
        <v>85</v>
      </c>
      <c r="F266" s="28">
        <v>12</v>
      </c>
      <c r="G266" s="29">
        <v>70</v>
      </c>
      <c r="H266" s="64">
        <f t="shared" si="6"/>
        <v>840</v>
      </c>
    </row>
    <row r="267" spans="2:8" hidden="1" x14ac:dyDescent="0.3">
      <c r="B267" s="27" t="s">
        <v>519</v>
      </c>
      <c r="C267" s="27" t="s">
        <v>549</v>
      </c>
      <c r="D267" s="27" t="s">
        <v>207</v>
      </c>
      <c r="E267" s="27" t="s">
        <v>85</v>
      </c>
      <c r="F267" s="28"/>
      <c r="G267" s="29">
        <v>0</v>
      </c>
      <c r="H267" s="64">
        <f t="shared" si="6"/>
        <v>0</v>
      </c>
    </row>
    <row r="268" spans="2:8" hidden="1" x14ac:dyDescent="0.3">
      <c r="B268" s="27" t="s">
        <v>519</v>
      </c>
      <c r="C268" s="27" t="s">
        <v>550</v>
      </c>
      <c r="D268" s="27" t="s">
        <v>209</v>
      </c>
      <c r="E268" s="29" t="s">
        <v>85</v>
      </c>
      <c r="F268" s="28"/>
      <c r="G268" s="29">
        <v>0</v>
      </c>
      <c r="H268" s="64">
        <f t="shared" si="6"/>
        <v>0</v>
      </c>
    </row>
    <row r="269" spans="2:8" hidden="1" x14ac:dyDescent="0.3">
      <c r="B269" s="27" t="s">
        <v>519</v>
      </c>
      <c r="C269" s="27" t="s">
        <v>551</v>
      </c>
      <c r="D269" s="27" t="s">
        <v>214</v>
      </c>
      <c r="E269" s="27" t="s">
        <v>89</v>
      </c>
      <c r="F269" s="28"/>
      <c r="G269" s="29">
        <v>0</v>
      </c>
      <c r="H269" s="64">
        <f t="shared" si="6"/>
        <v>0</v>
      </c>
    </row>
    <row r="270" spans="2:8" hidden="1" x14ac:dyDescent="0.3">
      <c r="B270" s="27" t="s">
        <v>519</v>
      </c>
      <c r="C270" s="27" t="s">
        <v>552</v>
      </c>
      <c r="D270" s="27" t="s">
        <v>553</v>
      </c>
      <c r="E270" s="29" t="s">
        <v>71</v>
      </c>
      <c r="F270" s="28"/>
      <c r="G270" s="29">
        <v>0</v>
      </c>
      <c r="H270" s="64">
        <f t="shared" si="6"/>
        <v>0</v>
      </c>
    </row>
    <row r="271" spans="2:8" hidden="1" x14ac:dyDescent="0.3">
      <c r="B271" s="27" t="s">
        <v>519</v>
      </c>
      <c r="C271" s="27" t="s">
        <v>554</v>
      </c>
      <c r="D271" s="27" t="s">
        <v>555</v>
      </c>
      <c r="E271" s="27" t="s">
        <v>85</v>
      </c>
      <c r="F271" s="28"/>
      <c r="G271" s="29">
        <v>0</v>
      </c>
      <c r="H271" s="64">
        <f t="shared" si="6"/>
        <v>0</v>
      </c>
    </row>
    <row r="272" spans="2:8" hidden="1" x14ac:dyDescent="0.3">
      <c r="B272" s="27" t="s">
        <v>519</v>
      </c>
      <c r="C272" s="27" t="s">
        <v>556</v>
      </c>
      <c r="D272" s="27" t="s">
        <v>218</v>
      </c>
      <c r="E272" s="29" t="s">
        <v>89</v>
      </c>
      <c r="F272" s="28"/>
      <c r="G272" s="29">
        <v>0</v>
      </c>
      <c r="H272" s="64">
        <f t="shared" si="6"/>
        <v>0</v>
      </c>
    </row>
    <row r="274" spans="2:8" ht="14.25" customHeight="1" x14ac:dyDescent="0.3">
      <c r="B274" s="60" t="s">
        <v>557</v>
      </c>
      <c r="C274" s="60"/>
      <c r="D274" s="60"/>
      <c r="E274" s="60"/>
      <c r="F274" s="60"/>
      <c r="G274" s="60"/>
      <c r="H274" s="60"/>
    </row>
    <row r="275" spans="2:8" x14ac:dyDescent="0.3">
      <c r="B275" s="60"/>
      <c r="C275" s="60"/>
      <c r="D275" s="60"/>
      <c r="E275" s="60"/>
      <c r="F275" s="60"/>
      <c r="G275" s="60"/>
      <c r="H275" s="60"/>
    </row>
    <row r="276" spans="2:8" ht="15" customHeight="1" x14ac:dyDescent="0.3">
      <c r="B276" s="31"/>
      <c r="C276" s="31"/>
      <c r="D276" s="31"/>
      <c r="E276" s="31"/>
      <c r="F276" s="31"/>
      <c r="G276" s="31"/>
      <c r="H276" s="31"/>
    </row>
    <row r="277" spans="2:8" ht="15" customHeight="1" x14ac:dyDescent="0.3">
      <c r="B277" s="49" t="s">
        <v>558</v>
      </c>
      <c r="C277" s="49" t="s">
        <v>17</v>
      </c>
      <c r="D277" s="49" t="s">
        <v>559</v>
      </c>
      <c r="E277" s="60" t="s">
        <v>560</v>
      </c>
      <c r="F277" s="60"/>
      <c r="G277" s="60"/>
      <c r="H277" s="60"/>
    </row>
    <row r="278" spans="2:8" x14ac:dyDescent="0.3">
      <c r="B278" s="46">
        <v>1</v>
      </c>
      <c r="C278" s="47"/>
      <c r="D278" s="48"/>
      <c r="E278" s="57"/>
      <c r="F278" s="57"/>
      <c r="G278" s="57"/>
      <c r="H278" s="57"/>
    </row>
    <row r="279" spans="2:8" x14ac:dyDescent="0.3">
      <c r="B279" s="46">
        <v>2</v>
      </c>
      <c r="C279" s="47"/>
      <c r="D279" s="48"/>
      <c r="E279" s="57"/>
      <c r="F279" s="57"/>
      <c r="G279" s="57"/>
      <c r="H279" s="57"/>
    </row>
    <row r="280" spans="2:8" x14ac:dyDescent="0.3">
      <c r="B280" s="46">
        <v>3</v>
      </c>
      <c r="C280" s="47"/>
      <c r="D280" s="48"/>
      <c r="E280" s="57"/>
      <c r="F280" s="57"/>
      <c r="G280" s="57"/>
      <c r="H280" s="57"/>
    </row>
    <row r="281" spans="2:8" x14ac:dyDescent="0.3">
      <c r="B281" s="46">
        <v>4</v>
      </c>
      <c r="C281" s="47"/>
      <c r="D281" s="48"/>
      <c r="E281" s="57"/>
      <c r="F281" s="57"/>
      <c r="G281" s="57"/>
      <c r="H281" s="57"/>
    </row>
    <row r="282" spans="2:8" x14ac:dyDescent="0.3">
      <c r="B282" s="46">
        <v>5</v>
      </c>
      <c r="C282" s="47"/>
      <c r="D282" s="48"/>
      <c r="E282" s="57"/>
      <c r="F282" s="57"/>
      <c r="G282" s="57"/>
      <c r="H282" s="57"/>
    </row>
    <row r="283" spans="2:8" x14ac:dyDescent="0.3">
      <c r="B283" s="46">
        <v>6</v>
      </c>
      <c r="C283" s="47"/>
      <c r="D283" s="48"/>
      <c r="E283" s="57"/>
      <c r="F283" s="57"/>
      <c r="G283" s="57"/>
      <c r="H283" s="57"/>
    </row>
    <row r="284" spans="2:8" x14ac:dyDescent="0.3">
      <c r="B284" s="46">
        <v>7</v>
      </c>
      <c r="C284" s="47"/>
      <c r="D284" s="48"/>
      <c r="E284" s="57"/>
      <c r="F284" s="57"/>
      <c r="G284" s="57"/>
      <c r="H284" s="57"/>
    </row>
    <row r="285" spans="2:8" x14ac:dyDescent="0.3">
      <c r="B285" s="46">
        <v>8</v>
      </c>
      <c r="C285" s="47"/>
      <c r="D285" s="48"/>
      <c r="E285" s="57"/>
      <c r="F285" s="57"/>
      <c r="G285" s="57"/>
      <c r="H285" s="57"/>
    </row>
    <row r="286" spans="2:8" x14ac:dyDescent="0.3">
      <c r="F286" s="1"/>
    </row>
    <row r="287" spans="2:8" x14ac:dyDescent="0.3">
      <c r="F287" s="1"/>
    </row>
  </sheetData>
  <mergeCells count="12">
    <mergeCell ref="D1:D2"/>
    <mergeCell ref="B4:H5"/>
    <mergeCell ref="B274:H275"/>
    <mergeCell ref="E277:H277"/>
    <mergeCell ref="E278:H278"/>
    <mergeCell ref="E284:H284"/>
    <mergeCell ref="E285:H285"/>
    <mergeCell ref="E279:H279"/>
    <mergeCell ref="E280:H280"/>
    <mergeCell ref="E281:H281"/>
    <mergeCell ref="E282:H282"/>
    <mergeCell ref="E283:H283"/>
  </mergeCells>
  <dataValidations disablePrompts="1" count="6">
    <dataValidation type="decimal" allowBlank="1" showInputMessage="1" showErrorMessage="1" sqref="F26" xr:uid="{00000000-0002-0000-0100-000000000000}">
      <formula1>0</formula1>
      <formula2>20</formula2>
    </dataValidation>
    <dataValidation type="decimal" allowBlank="1" showInputMessage="1" showErrorMessage="1" sqref="F27" xr:uid="{00000000-0002-0000-0100-000001000000}">
      <formula1>20</formula1>
      <formula2>50</formula2>
    </dataValidation>
    <dataValidation type="decimal" allowBlank="1" showInputMessage="1" showErrorMessage="1" sqref="F28" xr:uid="{00000000-0002-0000-0100-000002000000}">
      <formula1>50</formula1>
      <formula2>80</formula2>
    </dataValidation>
    <dataValidation type="list" allowBlank="1" showInputMessage="1" showErrorMessage="1" sqref="C278:C285" xr:uid="{00000000-0002-0000-0100-000003000000}">
      <formula1>$C$12:$C$272</formula1>
      <formula2>0</formula2>
    </dataValidation>
    <dataValidation type="whole" allowBlank="1" showInputMessage="1" showErrorMessage="1" sqref="F29" xr:uid="{00000000-0002-0000-0100-000004000000}">
      <formula1>80</formula1>
      <formula2>100</formula2>
    </dataValidation>
    <dataValidation type="whole" allowBlank="1" showInputMessage="1" showErrorMessage="1" sqref="F30" xr:uid="{00000000-0002-0000-0100-000005000000}">
      <formula1>100</formula1>
      <formula2>200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showRowColHeaders="0" zoomScale="70" zoomScaleNormal="70" workbookViewId="0">
      <selection activeCell="D20" sqref="D20"/>
    </sheetView>
  </sheetViews>
  <sheetFormatPr defaultColWidth="37.33203125" defaultRowHeight="14.4" x14ac:dyDescent="0.3"/>
  <cols>
    <col min="1" max="1" width="34.44140625" customWidth="1"/>
    <col min="2" max="2" width="29.77734375" customWidth="1"/>
    <col min="3" max="3" width="8.77734375" customWidth="1"/>
    <col min="6" max="6" width="37.33203125" style="33"/>
  </cols>
  <sheetData>
    <row r="1" spans="1:3" ht="24" customHeight="1" x14ac:dyDescent="0.3">
      <c r="A1" s="34" t="s">
        <v>561</v>
      </c>
      <c r="B1" s="35" t="str">
        <f>Quantitativos!C8</f>
        <v>PESTA3002</v>
      </c>
      <c r="C1" s="31"/>
    </row>
    <row r="2" spans="1:3" ht="24" customHeight="1" x14ac:dyDescent="0.3">
      <c r="A2" s="36" t="s">
        <v>562</v>
      </c>
      <c r="B2" s="35" t="str">
        <f>(Quantitativos!C9)</f>
        <v>PA</v>
      </c>
      <c r="C2" s="31"/>
    </row>
    <row r="3" spans="1:3" ht="24" customHeight="1" x14ac:dyDescent="0.3">
      <c r="A3" s="34" t="s">
        <v>563</v>
      </c>
      <c r="B3" s="35" t="str">
        <f>Layout!E9</f>
        <v>Nordeste</v>
      </c>
      <c r="C3" s="31"/>
    </row>
    <row r="4" spans="1:3" x14ac:dyDescent="0.3">
      <c r="A4" s="31"/>
      <c r="B4" s="31"/>
      <c r="C4" s="31"/>
    </row>
    <row r="5" spans="1:3" ht="23.25" customHeight="1" x14ac:dyDescent="0.3">
      <c r="A5" s="31"/>
      <c r="B5" s="31"/>
      <c r="C5" s="31"/>
    </row>
    <row r="6" spans="1:3" ht="23.25" customHeight="1" x14ac:dyDescent="0.3">
      <c r="A6" s="37" t="s">
        <v>17</v>
      </c>
      <c r="B6" s="38" t="s">
        <v>564</v>
      </c>
    </row>
    <row r="7" spans="1:3" ht="23.25" customHeight="1" x14ac:dyDescent="0.3">
      <c r="A7" s="39" t="s">
        <v>23</v>
      </c>
      <c r="B7" s="40">
        <f>SUM(Quantitativos!H12:H23)</f>
        <v>0</v>
      </c>
    </row>
    <row r="8" spans="1:3" ht="23.25" customHeight="1" x14ac:dyDescent="0.3">
      <c r="A8" s="39" t="s">
        <v>565</v>
      </c>
      <c r="B8" s="40">
        <f>SUM(Quantitativos!H24:H47)</f>
        <v>0</v>
      </c>
      <c r="C8" s="31"/>
    </row>
    <row r="9" spans="1:3" ht="23.25" customHeight="1" x14ac:dyDescent="0.3">
      <c r="A9" s="39" t="s">
        <v>105</v>
      </c>
      <c r="B9" s="40">
        <f>SUM(Quantitativos!H48:H59)</f>
        <v>0</v>
      </c>
      <c r="C9" s="31"/>
    </row>
    <row r="10" spans="1:3" ht="23.25" customHeight="1" x14ac:dyDescent="0.3">
      <c r="A10" s="39" t="s">
        <v>130</v>
      </c>
      <c r="B10" s="40">
        <f>SUM(Quantitativos!H60:H71)</f>
        <v>6600</v>
      </c>
      <c r="C10" s="41"/>
    </row>
    <row r="11" spans="1:3" ht="23.25" customHeight="1" x14ac:dyDescent="0.3">
      <c r="A11" s="39" t="s">
        <v>566</v>
      </c>
      <c r="B11" s="40">
        <f>SUM(Quantitativos!H72:H98)</f>
        <v>29495</v>
      </c>
      <c r="C11" s="31"/>
    </row>
    <row r="12" spans="1:3" ht="23.25" customHeight="1" x14ac:dyDescent="0.3">
      <c r="A12" s="39" t="s">
        <v>567</v>
      </c>
      <c r="B12" s="40">
        <f>SUM(Quantitativos!H121:H156)</f>
        <v>0</v>
      </c>
      <c r="C12" s="31"/>
    </row>
    <row r="13" spans="1:3" ht="23.25" customHeight="1" x14ac:dyDescent="0.3">
      <c r="A13" s="39" t="s">
        <v>332</v>
      </c>
      <c r="B13" s="40">
        <f>SUM(Quantitativos!H157:H158)</f>
        <v>0</v>
      </c>
      <c r="C13" s="31"/>
    </row>
    <row r="14" spans="1:3" ht="23.25" customHeight="1" x14ac:dyDescent="0.3">
      <c r="A14" s="39" t="s">
        <v>212</v>
      </c>
      <c r="B14" s="40">
        <f>SUM(Quantitativos!H99:H115)</f>
        <v>0</v>
      </c>
      <c r="C14" s="31"/>
    </row>
    <row r="15" spans="1:3" ht="23.25" customHeight="1" x14ac:dyDescent="0.3">
      <c r="A15" s="39" t="s">
        <v>568</v>
      </c>
      <c r="B15" s="40">
        <f>SUM(Quantitativos!H180:H184)</f>
        <v>0</v>
      </c>
      <c r="C15" s="31"/>
    </row>
    <row r="16" spans="1:3" ht="23.25" customHeight="1" x14ac:dyDescent="0.3">
      <c r="A16" s="39" t="s">
        <v>337</v>
      </c>
      <c r="B16" s="40">
        <f>SUM(Quantitativos!H159:H178)</f>
        <v>0</v>
      </c>
      <c r="C16" s="31"/>
    </row>
    <row r="17" spans="1:6" ht="23.25" customHeight="1" x14ac:dyDescent="0.3">
      <c r="A17" s="39" t="s">
        <v>237</v>
      </c>
      <c r="B17" s="40">
        <f>SUM(Quantitativos!H111:H120)</f>
        <v>2700</v>
      </c>
      <c r="C17" s="31"/>
    </row>
    <row r="18" spans="1:6" ht="23.25" customHeight="1" x14ac:dyDescent="0.3">
      <c r="A18" s="39" t="s">
        <v>519</v>
      </c>
      <c r="B18" s="40">
        <f>SUM(Quantitativos!H247:H272)</f>
        <v>13870</v>
      </c>
      <c r="C18" s="31"/>
    </row>
    <row r="19" spans="1:6" ht="23.25" customHeight="1" x14ac:dyDescent="0.3">
      <c r="A19" s="39" t="s">
        <v>392</v>
      </c>
      <c r="B19" s="40">
        <f>SUM(Quantitativos!H185:H272)</f>
        <v>13870</v>
      </c>
      <c r="C19" s="31"/>
    </row>
    <row r="20" spans="1:6" ht="23.25" customHeight="1" x14ac:dyDescent="0.3">
      <c r="A20" s="37" t="s">
        <v>569</v>
      </c>
      <c r="B20" s="42">
        <f>SUM(B7:B18)</f>
        <v>52665</v>
      </c>
      <c r="C20" s="31"/>
    </row>
    <row r="21" spans="1:6" x14ac:dyDescent="0.3">
      <c r="A21" s="31"/>
      <c r="B21" s="31"/>
      <c r="C21" s="31"/>
    </row>
    <row r="22" spans="1:6" x14ac:dyDescent="0.3">
      <c r="A22" s="31"/>
      <c r="B22" s="31"/>
      <c r="C22" s="31"/>
      <c r="F22" s="43"/>
    </row>
    <row r="23" spans="1:6" x14ac:dyDescent="0.3">
      <c r="A23" s="31"/>
      <c r="B23" s="31"/>
      <c r="C23" s="31"/>
      <c r="F23" s="4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showGridLines="0" showRowColHeaders="0" zoomScaleNormal="100" workbookViewId="0">
      <selection activeCell="K19" sqref="K19"/>
    </sheetView>
  </sheetViews>
  <sheetFormatPr defaultColWidth="8.77734375" defaultRowHeight="14.4" x14ac:dyDescent="0.3"/>
  <cols>
    <col min="1" max="1" width="9.109375" style="43" customWidth="1"/>
    <col min="2" max="2" width="19.109375" style="43" customWidth="1"/>
    <col min="3" max="3" width="12.44140625" style="43" customWidth="1"/>
    <col min="4" max="8" width="9.109375" style="43" customWidth="1"/>
    <col min="9" max="9" width="25.6640625" style="44" customWidth="1"/>
    <col min="10" max="21" width="9.109375" style="43" customWidth="1"/>
  </cols>
  <sheetData>
    <row r="1" spans="2:9" x14ac:dyDescent="0.3">
      <c r="G1" s="45" t="s">
        <v>2</v>
      </c>
      <c r="I1" s="44" t="s">
        <v>570</v>
      </c>
    </row>
    <row r="2" spans="2:9" x14ac:dyDescent="0.3">
      <c r="G2" s="44" t="s">
        <v>571</v>
      </c>
      <c r="I2" s="44" t="s">
        <v>572</v>
      </c>
    </row>
    <row r="3" spans="2:9" x14ac:dyDescent="0.3">
      <c r="B3" s="43" t="s">
        <v>573</v>
      </c>
      <c r="C3" s="43" t="b">
        <f>COUNTA(Quantitativos!$F$24:$F$28)&lt;=1</f>
        <v>1</v>
      </c>
      <c r="G3" s="44" t="s">
        <v>574</v>
      </c>
      <c r="I3" s="44" t="s">
        <v>519</v>
      </c>
    </row>
    <row r="4" spans="2:9" x14ac:dyDescent="0.3">
      <c r="B4" s="43" t="s">
        <v>575</v>
      </c>
      <c r="C4" s="43" t="b">
        <f>COUNTA(Quantitativos!$F$31:$F$32)&lt;=1</f>
        <v>1</v>
      </c>
      <c r="G4" s="44" t="s">
        <v>3</v>
      </c>
      <c r="I4" s="44" t="s">
        <v>9</v>
      </c>
    </row>
    <row r="5" spans="2:9" x14ac:dyDescent="0.3">
      <c r="B5" s="43" t="s">
        <v>576</v>
      </c>
      <c r="C5" s="43" t="b">
        <f>IF(Quantitativos!F33&lt;&gt;(SUM(Quantitativos!F31:F32)),FALSE(),TRUE())</f>
        <v>1</v>
      </c>
      <c r="G5" s="44" t="s">
        <v>577</v>
      </c>
      <c r="I5" s="44" t="s">
        <v>578</v>
      </c>
    </row>
    <row r="6" spans="2:9" x14ac:dyDescent="0.3">
      <c r="G6" s="44" t="s">
        <v>579</v>
      </c>
      <c r="I6" s="44" t="s">
        <v>392</v>
      </c>
    </row>
    <row r="11" spans="2:9" x14ac:dyDescent="0.3">
      <c r="I11" s="44" t="s">
        <v>580</v>
      </c>
    </row>
    <row r="12" spans="2:9" x14ac:dyDescent="0.3">
      <c r="B12" s="43" t="s">
        <v>581</v>
      </c>
      <c r="I12" s="44" t="s">
        <v>582</v>
      </c>
    </row>
    <row r="13" spans="2:9" x14ac:dyDescent="0.3">
      <c r="B13" s="43" t="s">
        <v>583</v>
      </c>
      <c r="I13" s="44" t="s">
        <v>584</v>
      </c>
    </row>
    <row r="14" spans="2:9" x14ac:dyDescent="0.3">
      <c r="B14" s="43" t="s">
        <v>5</v>
      </c>
      <c r="I14" s="44" t="s">
        <v>585</v>
      </c>
    </row>
    <row r="15" spans="2:9" x14ac:dyDescent="0.3">
      <c r="B15" s="43" t="s">
        <v>586</v>
      </c>
      <c r="I15" s="44" t="s">
        <v>7</v>
      </c>
    </row>
    <row r="16" spans="2:9" x14ac:dyDescent="0.3">
      <c r="B16" s="43" t="s">
        <v>587</v>
      </c>
      <c r="I16" s="44" t="s">
        <v>588</v>
      </c>
    </row>
    <row r="17" spans="2:9" x14ac:dyDescent="0.3">
      <c r="B17" s="43" t="s">
        <v>589</v>
      </c>
      <c r="I17" s="44" t="s">
        <v>590</v>
      </c>
    </row>
    <row r="18" spans="2:9" x14ac:dyDescent="0.3">
      <c r="I18" s="44" t="s">
        <v>591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Layout</vt:lpstr>
      <vt:lpstr>Quantitativos</vt:lpstr>
      <vt:lpstr>Resumo PV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Santos</dc:creator>
  <dc:description/>
  <cp:lastModifiedBy>Kayky Silva</cp:lastModifiedBy>
  <cp:revision>0</cp:revision>
  <cp:lastPrinted>2023-08-01T21:50:12Z</cp:lastPrinted>
  <dcterms:created xsi:type="dcterms:W3CDTF">2016-04-04T15:49:19Z</dcterms:created>
  <dcterms:modified xsi:type="dcterms:W3CDTF">2026-08-10T19:05:21Z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0x010100537D36244554734C906CE4E643B4D156</vt:lpwstr>
  </property>
</Properties>
</file>