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Layout" sheetId="1" state="visible" r:id="rId1"/>
    <sheet xmlns:r="http://schemas.openxmlformats.org/officeDocument/2006/relationships" name="Quantitativos" sheetId="2" state="visible" r:id="rId2"/>
    <sheet xmlns:r="http://schemas.openxmlformats.org/officeDocument/2006/relationships" name="Resumo PV" sheetId="3" state="visible" r:id="rId3"/>
    <sheet xmlns:r="http://schemas.openxmlformats.org/officeDocument/2006/relationships" name="check" sheetId="4" state="hidden" r:id="rId4"/>
    <sheet xmlns:r="http://schemas.openxmlformats.org/officeDocument/2006/relationships" name="Análise das Médias" sheetId="5" state="visible" r:id="rId5"/>
    <sheet xmlns:r="http://schemas.openxmlformats.org/officeDocument/2006/relationships" name="PVs Considerado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R$&quot;\ #,##0.00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R$ #,##0.00"/>
    <numFmt numFmtId="168" formatCode="0.00&quot;x&quot;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sz val="12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0"/>
      <scheme val="minor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theme="3" tint="-0.499984740745262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4811853389081"/>
        <bgColor theme="8" tint="0.7999816888943144"/>
      </patternFill>
    </fill>
    <fill>
      <patternFill patternType="solid">
        <fgColor theme="2" tint="-0.09994811853389081"/>
        <bgColor theme="8" tint="0.5999938962981048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8" tint="0.7999816888943144"/>
      </patternFill>
    </fill>
    <fill>
      <patternFill patternType="solid">
        <fgColor theme="2" tint="-0.499984740745262"/>
        <bgColor theme="8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1F3864"/>
      </patternFill>
    </fill>
    <fill>
      <patternFill patternType="solid">
        <fgColor rgb="00F2F5FA"/>
      </patternFill>
    </fill>
  </fills>
  <borders count="35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ck">
        <color theme="0"/>
      </top>
      <bottom style="thin">
        <color indexed="64"/>
      </bottom>
      <diagonal/>
    </border>
    <border>
      <left/>
      <right/>
      <top style="thick">
        <color theme="0"/>
      </top>
      <bottom style="thin">
        <color indexed="64"/>
      </bottom>
      <diagonal/>
    </border>
    <border>
      <left/>
      <right style="thin">
        <color theme="0"/>
      </right>
      <top style="thick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9">
    <xf numFmtId="0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0" fontId="4" fillId="0" borderId="0"/>
    <xf numFmtId="0" fontId="4" fillId="0" borderId="0"/>
    <xf numFmtId="43" fontId="1" fillId="0" borderId="0"/>
    <xf numFmtId="43" fontId="1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</cellStyleXfs>
  <cellXfs count="112">
    <xf numFmtId="0" fontId="0" fillId="0" borderId="0" pivotButton="0" quotePrefix="0" xfId="0"/>
    <xf numFmtId="164" fontId="2" fillId="2" borderId="3" applyAlignment="1" applyProtection="1" pivotButton="0" quotePrefix="0" xfId="0">
      <alignment horizontal="right" vertical="center" wrapText="1"/>
      <protection locked="1" hidden="1"/>
    </xf>
    <xf numFmtId="0" fontId="0" fillId="3" borderId="0" pivotButton="0" quotePrefix="0" xfId="0"/>
    <xf numFmtId="164" fontId="2" fillId="2" borderId="3" applyAlignment="1" applyProtection="1" pivotButton="0" quotePrefix="0" xfId="0">
      <alignment horizontal="center" vertical="center" wrapText="1"/>
      <protection locked="1" hidden="1"/>
    </xf>
    <xf numFmtId="0" fontId="6" fillId="2" borderId="0" applyAlignment="1" applyProtection="1" pivotButton="0" quotePrefix="0" xfId="0">
      <alignment horizontal="center" vertical="center" wrapText="1"/>
      <protection locked="1" hidden="1"/>
    </xf>
    <xf numFmtId="164" fontId="6" fillId="2" borderId="1" applyAlignment="1" applyProtection="1" pivotButton="0" quotePrefix="0" xfId="0">
      <alignment horizontal="center" vertical="center" wrapText="1"/>
      <protection locked="1" hidden="1"/>
    </xf>
    <xf numFmtId="0" fontId="5" fillId="3" borderId="0" applyAlignment="1" applyProtection="1" pivotButton="0" quotePrefix="0" xfId="0">
      <alignment vertical="center" wrapText="1"/>
      <protection locked="1" hidden="1"/>
    </xf>
    <xf numFmtId="0" fontId="6" fillId="2" borderId="11" applyAlignment="1" applyProtection="1" pivotButton="0" quotePrefix="0" xfId="0">
      <alignment horizontal="center" vertical="center" wrapText="1"/>
      <protection locked="1" hidden="1"/>
    </xf>
    <xf numFmtId="0" fontId="6" fillId="2" borderId="4" applyAlignment="1" applyProtection="1" pivotButton="0" quotePrefix="0" xfId="0">
      <alignment horizontal="center" vertical="center" wrapText="1"/>
      <protection locked="1" hidden="1"/>
    </xf>
    <xf numFmtId="0" fontId="0" fillId="3" borderId="12" pivotButton="0" quotePrefix="0" xfId="0"/>
    <xf numFmtId="0" fontId="8" fillId="3" borderId="0" applyProtection="1" pivotButton="0" quotePrefix="0" xfId="0">
      <protection locked="1" hidden="1"/>
    </xf>
    <xf numFmtId="0" fontId="0" fillId="3" borderId="0" applyProtection="1" pivotButton="0" quotePrefix="0" xfId="0">
      <protection locked="1" hidden="1"/>
    </xf>
    <xf numFmtId="0" fontId="0" fillId="3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3" fillId="3" borderId="0" applyAlignment="1" applyProtection="1" pivotButton="0" quotePrefix="0" xfId="0">
      <alignment horizont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7" fillId="6" borderId="11" applyAlignment="1" applyProtection="1" pivotButton="0" quotePrefix="0" xfId="0">
      <alignment horizontal="center" vertical="center" wrapText="1"/>
      <protection locked="1" hidden="1"/>
    </xf>
    <xf numFmtId="0" fontId="12" fillId="3" borderId="0" applyProtection="1" pivotButton="0" quotePrefix="0" xfId="0">
      <protection locked="1" hidden="1"/>
    </xf>
    <xf numFmtId="0" fontId="9" fillId="0" borderId="0" applyProtection="1" pivotButton="0" quotePrefix="0" xfId="0">
      <protection locked="1" hidden="1"/>
    </xf>
    <xf numFmtId="0" fontId="0" fillId="4" borderId="12" applyProtection="1" pivotButton="0" quotePrefix="0" xfId="0">
      <protection locked="0" hidden="0"/>
    </xf>
    <xf numFmtId="0" fontId="13" fillId="0" borderId="0" applyAlignment="1" applyProtection="1" pivotButton="0" quotePrefix="0" xfId="0">
      <alignment horizontal="left"/>
      <protection locked="1" hidden="1"/>
    </xf>
    <xf numFmtId="0" fontId="8" fillId="7" borderId="20" applyProtection="1" pivotButton="0" quotePrefix="0" xfId="0">
      <protection locked="1" hidden="1"/>
    </xf>
    <xf numFmtId="0" fontId="8" fillId="7" borderId="21" applyProtection="1" pivotButton="0" quotePrefix="0" xfId="0">
      <protection locked="1" hidden="1"/>
    </xf>
    <xf numFmtId="0" fontId="8" fillId="7" borderId="22" applyProtection="1" pivotButton="0" quotePrefix="0" xfId="0">
      <protection locked="1" hidden="1"/>
    </xf>
    <xf numFmtId="0" fontId="8" fillId="7" borderId="23" applyProtection="1" pivotButton="0" quotePrefix="0" xfId="0">
      <protection locked="1" hidden="1"/>
    </xf>
    <xf numFmtId="0" fontId="8" fillId="7" borderId="24" applyProtection="1" pivotButton="0" quotePrefix="0" xfId="0">
      <protection locked="1" hidden="1"/>
    </xf>
    <xf numFmtId="0" fontId="8" fillId="7" borderId="25" applyProtection="1" pivotButton="0" quotePrefix="0" xfId="0">
      <protection locked="1" hidden="1"/>
    </xf>
    <xf numFmtId="0" fontId="10" fillId="8" borderId="19" applyAlignment="1" applyProtection="1" pivotButton="0" quotePrefix="0" xfId="0">
      <alignment horizontal="right"/>
      <protection locked="1" hidden="1"/>
    </xf>
    <xf numFmtId="14" fontId="16" fillId="8" borderId="19" applyAlignment="1" applyProtection="1" pivotButton="0" quotePrefix="0" xfId="0">
      <alignment horizontal="center"/>
      <protection locked="0" hidden="1"/>
    </xf>
    <xf numFmtId="0" fontId="10" fillId="7" borderId="10" applyAlignment="1" applyProtection="1" pivotButton="0" quotePrefix="0" xfId="0">
      <alignment horizontal="right"/>
      <protection locked="1" hidden="1"/>
    </xf>
    <xf numFmtId="0" fontId="16" fillId="7" borderId="10" applyAlignment="1" applyProtection="1" pivotButton="0" quotePrefix="0" xfId="0">
      <alignment horizontal="center"/>
      <protection locked="0" hidden="1"/>
    </xf>
    <xf numFmtId="0" fontId="16" fillId="8" borderId="10" applyAlignment="1" applyProtection="1" pivotButton="0" quotePrefix="0" xfId="0">
      <alignment horizontal="center"/>
      <protection locked="1" hidden="1"/>
    </xf>
    <xf numFmtId="0" fontId="10" fillId="8" borderId="10" applyAlignment="1" applyProtection="1" pivotButton="0" quotePrefix="0" xfId="0">
      <alignment horizontal="right"/>
      <protection locked="1" hidden="1"/>
    </xf>
    <xf numFmtId="164" fontId="2" fillId="9" borderId="3" applyAlignment="1" applyProtection="1" pivotButton="0" quotePrefix="0" xfId="0">
      <alignment horizontal="center" vertical="center" wrapText="1"/>
      <protection locked="1" hidden="1"/>
    </xf>
    <xf numFmtId="0" fontId="11" fillId="0" borderId="0" pivotButton="0" quotePrefix="0" xfId="0"/>
    <xf numFmtId="0" fontId="1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9" fillId="0" borderId="0" pivotButton="0" quotePrefix="0" xfId="0"/>
    <xf numFmtId="0" fontId="0" fillId="0" borderId="12" applyAlignment="1" applyProtection="1" pivotButton="0" quotePrefix="0" xfId="0">
      <alignment horizontal="center" vertical="center" wrapText="1"/>
      <protection locked="1" hidden="1"/>
    </xf>
    <xf numFmtId="0" fontId="3" fillId="0" borderId="12" applyAlignment="1" applyProtection="1" pivotButton="0" quotePrefix="0" xfId="0">
      <alignment horizontal="center"/>
      <protection locked="0" hidden="0"/>
    </xf>
    <xf numFmtId="165" fontId="0" fillId="0" borderId="12" applyAlignment="1" applyProtection="1" pivotButton="0" quotePrefix="0" xfId="1">
      <alignment horizontal="center" vertical="center" wrapText="1"/>
      <protection locked="1" hidden="1"/>
    </xf>
    <xf numFmtId="0" fontId="8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0" fontId="10" fillId="0" borderId="0" applyProtection="1" pivotButton="0" quotePrefix="0" xfId="0">
      <protection locked="1" hidden="1"/>
    </xf>
    <xf numFmtId="0" fontId="15" fillId="0" borderId="0" applyProtection="1" pivotButton="0" quotePrefix="0" xfId="0">
      <protection locked="1" hidden="1"/>
    </xf>
    <xf numFmtId="0" fontId="14" fillId="0" borderId="0" applyProtection="1" pivotButton="0" quotePrefix="0" xfId="0">
      <protection locked="1" hidden="1"/>
    </xf>
    <xf numFmtId="0" fontId="7" fillId="5" borderId="9" applyAlignment="1" applyProtection="1" pivotButton="0" quotePrefix="0" xfId="0">
      <alignment horizontal="center" vertical="center" wrapText="1"/>
      <protection locked="1" hidden="1"/>
    </xf>
    <xf numFmtId="166" fontId="7" fillId="5" borderId="7" applyAlignment="1" applyProtection="1" pivotButton="0" quotePrefix="0" xfId="18">
      <alignment horizontal="center" vertical="center" wrapText="1"/>
      <protection locked="1" hidden="1"/>
    </xf>
    <xf numFmtId="166" fontId="6" fillId="2" borderId="0" applyAlignment="1" applyProtection="1" pivotButton="0" quotePrefix="0" xfId="18">
      <alignment horizontal="center" vertical="center" wrapText="1"/>
      <protection locked="1" hidden="1"/>
    </xf>
    <xf numFmtId="0" fontId="0" fillId="0" borderId="18" applyAlignment="1" applyProtection="1" pivotButton="0" quotePrefix="0" xfId="0">
      <alignment horizontal="center" vertical="center" wrapText="1"/>
      <protection locked="1" hidden="1"/>
    </xf>
    <xf numFmtId="165" fontId="3" fillId="0" borderId="16" applyProtection="1" pivotButton="0" quotePrefix="0" xfId="1">
      <protection locked="1" hidden="1"/>
    </xf>
    <xf numFmtId="164" fontId="2" fillId="2" borderId="26" applyAlignment="1" applyProtection="1" pivotButton="0" quotePrefix="0" xfId="0">
      <alignment horizontal="center" vertical="center" wrapText="1"/>
      <protection locked="1" hidden="1"/>
    </xf>
    <xf numFmtId="164" fontId="2" fillId="2" borderId="27" applyAlignment="1" applyProtection="1" pivotButton="0" quotePrefix="0" xfId="0">
      <alignment horizontal="center" vertical="center" wrapText="1"/>
      <protection locked="1" hidden="1"/>
    </xf>
    <xf numFmtId="0" fontId="2" fillId="2" borderId="27" applyAlignment="1" applyProtection="1" pivotButton="0" quotePrefix="0" xfId="0">
      <alignment horizontal="center" vertical="center" wrapText="1"/>
      <protection locked="1" hidden="1"/>
    </xf>
    <xf numFmtId="0" fontId="2" fillId="2" borderId="28" applyAlignment="1" applyProtection="1" pivotButton="0" quotePrefix="0" xfId="0">
      <alignment horizontal="center" vertical="center" wrapText="1"/>
      <protection locked="1" hidden="1"/>
    </xf>
    <xf numFmtId="0" fontId="0" fillId="0" borderId="29" applyAlignment="1" applyProtection="1" pivotButton="0" quotePrefix="0" xfId="0">
      <alignment horizontal="center" vertical="center" wrapText="1"/>
      <protection locked="1" hidden="1"/>
    </xf>
    <xf numFmtId="0" fontId="0" fillId="0" borderId="30" applyAlignment="1" applyProtection="1" pivotButton="0" quotePrefix="0" xfId="0">
      <alignment horizontal="center" vertical="center" wrapText="1"/>
      <protection locked="1" hidden="1"/>
    </xf>
    <xf numFmtId="165" fontId="0" fillId="0" borderId="30" applyAlignment="1" applyProtection="1" pivotButton="0" quotePrefix="0" xfId="1">
      <alignment horizontal="center" vertical="center" wrapText="1"/>
      <protection locked="1" hidden="1"/>
    </xf>
    <xf numFmtId="0" fontId="3" fillId="0" borderId="30" applyAlignment="1" applyProtection="1" pivotButton="0" quotePrefix="0" xfId="0">
      <alignment horizontal="center"/>
      <protection locked="0" hidden="0"/>
    </xf>
    <xf numFmtId="165" fontId="3" fillId="0" borderId="31" applyProtection="1" pivotButton="0" quotePrefix="0" xfId="1">
      <protection locked="1" hidden="1"/>
    </xf>
    <xf numFmtId="165" fontId="11" fillId="0" borderId="12" applyAlignment="1" applyProtection="1" pivotButton="0" quotePrefix="0" xfId="1">
      <alignment horizontal="center" vertical="center" wrapText="1"/>
      <protection locked="1" hidden="1"/>
    </xf>
    <xf numFmtId="164" fontId="19" fillId="9" borderId="3" applyAlignment="1" applyProtection="1" pivotButton="0" quotePrefix="0" xfId="0">
      <alignment horizontal="center" vertical="center" wrapText="1"/>
      <protection locked="1" hidden="1"/>
    </xf>
    <xf numFmtId="0" fontId="3" fillId="10" borderId="12" applyAlignment="1" applyProtection="1" pivotButton="0" quotePrefix="0" xfId="0">
      <alignment horizontal="center"/>
      <protection locked="0" hidden="0"/>
    </xf>
    <xf numFmtId="0" fontId="3" fillId="3" borderId="12" applyAlignment="1" applyProtection="1" pivotButton="0" quotePrefix="0" xfId="0">
      <alignment horizontal="center"/>
      <protection locked="0" hidden="0"/>
    </xf>
    <xf numFmtId="0" fontId="3" fillId="11" borderId="12" applyAlignment="1" applyProtection="1" pivotButton="0" quotePrefix="0" xfId="0">
      <alignment horizontal="center"/>
      <protection locked="0" hidden="0"/>
    </xf>
    <xf numFmtId="0" fontId="2" fillId="2" borderId="5" applyAlignment="1" applyProtection="1" pivotButton="0" quotePrefix="0" xfId="0">
      <alignment horizontal="center" vertical="center" wrapText="1"/>
      <protection locked="1" hidden="1"/>
    </xf>
    <xf numFmtId="0" fontId="2" fillId="2" borderId="8" applyAlignment="1" applyProtection="1" pivotButton="0" quotePrefix="0" xfId="0">
      <alignment horizontal="center" vertical="center" wrapText="1"/>
      <protection locked="1" hidden="1"/>
    </xf>
    <xf numFmtId="0" fontId="2" fillId="2" borderId="6" applyAlignment="1" applyProtection="1" pivotButton="0" quotePrefix="0" xfId="0">
      <alignment horizontal="center" vertical="center" wrapText="1"/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2" fillId="2" borderId="0" applyAlignment="1" applyProtection="1" pivotButton="0" quotePrefix="0" xfId="0">
      <alignment horizontal="center" vertical="center" wrapText="1"/>
      <protection locked="1" hidden="1"/>
    </xf>
    <xf numFmtId="0" fontId="2" fillId="2" borderId="2" applyAlignment="1" applyProtection="1" pivotButton="0" quotePrefix="0" xfId="0">
      <alignment horizontal="center" vertical="center" wrapText="1"/>
      <protection locked="1" hidden="1"/>
    </xf>
    <xf numFmtId="0" fontId="3" fillId="3" borderId="0" applyAlignment="1" applyProtection="1" pivotButton="0" quotePrefix="0" xfId="0">
      <alignment horizontal="center" vertical="center"/>
      <protection locked="1" hidden="1"/>
    </xf>
    <xf numFmtId="0" fontId="2" fillId="2" borderId="13" applyAlignment="1" applyProtection="1" pivotButton="0" quotePrefix="0" xfId="0">
      <alignment horizontal="center" vertical="center" wrapText="1"/>
      <protection locked="1" hidden="1"/>
    </xf>
    <xf numFmtId="0" fontId="2" fillId="2" borderId="14" applyAlignment="1" applyProtection="1" pivotButton="0" quotePrefix="0" xfId="0">
      <alignment horizontal="center" vertical="center" wrapText="1"/>
      <protection locked="1" hidden="1"/>
    </xf>
    <xf numFmtId="0" fontId="2" fillId="2" borderId="15" applyAlignment="1" applyProtection="1" pivotButton="0" quotePrefix="0" xfId="0">
      <alignment horizontal="center" vertical="center" wrapText="1"/>
      <protection locked="1" hidden="1"/>
    </xf>
    <xf numFmtId="0" fontId="11" fillId="4" borderId="16" applyAlignment="1" applyProtection="1" pivotButton="0" quotePrefix="0" xfId="0">
      <alignment horizontal="left"/>
      <protection locked="0" hidden="0"/>
    </xf>
    <xf numFmtId="0" fontId="11" fillId="4" borderId="17" applyAlignment="1" applyProtection="1" pivotButton="0" quotePrefix="0" xfId="0">
      <alignment horizontal="left"/>
      <protection locked="0" hidden="0"/>
    </xf>
    <xf numFmtId="0" fontId="11" fillId="4" borderId="18" applyAlignment="1" applyProtection="1" pivotButton="0" quotePrefix="0" xfId="0">
      <alignment horizontal="left"/>
      <protection locked="0" hidden="0"/>
    </xf>
    <xf numFmtId="0" fontId="11" fillId="4" borderId="16" applyAlignment="1" applyProtection="1" pivotButton="0" quotePrefix="0" xfId="0">
      <alignment horizontal="center"/>
      <protection locked="0" hidden="0"/>
    </xf>
    <xf numFmtId="0" fontId="11" fillId="4" borderId="17" applyAlignment="1" applyProtection="1" pivotButton="0" quotePrefix="0" xfId="0">
      <alignment horizontal="center"/>
      <protection locked="0" hidden="0"/>
    </xf>
    <xf numFmtId="0" fontId="11" fillId="4" borderId="18" applyAlignment="1" applyProtection="1" pivotButton="0" quotePrefix="0" xfId="0">
      <alignment horizontal="center"/>
      <protection locked="0" hidden="0"/>
    </xf>
    <xf numFmtId="0" fontId="2" fillId="2" borderId="3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167" fontId="0" fillId="0" borderId="12" applyAlignment="1" applyProtection="1" pivotButton="0" quotePrefix="0" xfId="1">
      <alignment horizontal="center" vertical="center" wrapText="1"/>
      <protection locked="1" hidden="1"/>
    </xf>
    <xf numFmtId="165" fontId="3" fillId="0" borderId="16" applyProtection="1" pivotButton="0" quotePrefix="0" xfId="1">
      <protection locked="1" hidden="1"/>
    </xf>
    <xf numFmtId="165" fontId="0" fillId="0" borderId="12" applyAlignment="1" applyProtection="1" pivotButton="0" quotePrefix="0" xfId="1">
      <alignment horizontal="center" vertical="center" wrapText="1"/>
      <protection locked="1" hidden="1"/>
    </xf>
    <xf numFmtId="165" fontId="11" fillId="0" borderId="12" applyAlignment="1" applyProtection="1" pivotButton="0" quotePrefix="0" xfId="1">
      <alignment horizontal="center" vertical="center" wrapText="1"/>
      <protection locked="1" hidden="1"/>
    </xf>
    <xf numFmtId="167" fontId="11" fillId="0" borderId="12" applyAlignment="1" applyProtection="1" pivotButton="0" quotePrefix="0" xfId="1">
      <alignment horizontal="center" vertical="center" wrapText="1"/>
      <protection locked="1" hidden="1"/>
    </xf>
    <xf numFmtId="165" fontId="0" fillId="0" borderId="30" applyAlignment="1" applyProtection="1" pivotButton="0" quotePrefix="0" xfId="1">
      <alignment horizontal="center" vertical="center" wrapText="1"/>
      <protection locked="1" hidden="1"/>
    </xf>
    <xf numFmtId="165" fontId="3" fillId="0" borderId="31" applyProtection="1" pivotButton="0" quotePrefix="0" xfId="1">
      <protection locked="1" hidden="1"/>
    </xf>
    <xf numFmtId="0" fontId="2" fillId="2" borderId="33" applyAlignment="1" applyProtection="1" pivotButton="0" quotePrefix="0" xfId="0">
      <alignment horizontal="center" vertical="center" wrapText="1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11" fillId="4" borderId="12" applyAlignment="1" applyProtection="1" pivotButton="0" quotePrefix="0" xfId="0">
      <alignment horizontal="left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1" fillId="4" borderId="12" applyAlignment="1" applyProtection="1" pivotButton="0" quotePrefix="0" xfId="0">
      <alignment horizontal="center"/>
      <protection locked="0" hidden="0"/>
    </xf>
    <xf numFmtId="166" fontId="7" fillId="5" borderId="7" applyAlignment="1" applyProtection="1" pivotButton="0" quotePrefix="0" xfId="18">
      <alignment horizontal="center" vertical="center" wrapText="1"/>
      <protection locked="1" hidden="1"/>
    </xf>
    <xf numFmtId="166" fontId="6" fillId="2" borderId="0" applyAlignment="1" applyProtection="1" pivotButton="0" quotePrefix="0" xfId="18">
      <alignment horizontal="center" vertical="center" wrapText="1"/>
      <protection locked="1" hidden="1"/>
    </xf>
    <xf numFmtId="0" fontId="20" fillId="12" borderId="34" applyAlignment="1" pivotButton="0" quotePrefix="0" xfId="0">
      <alignment horizontal="center" vertical="center" wrapText="1"/>
    </xf>
    <xf numFmtId="0" fontId="0" fillId="13" borderId="34" pivotButton="0" quotePrefix="0" xfId="0"/>
    <xf numFmtId="0" fontId="0" fillId="13" borderId="34" applyAlignment="1" pivotButton="0" quotePrefix="0" xfId="0">
      <alignment horizontal="center"/>
    </xf>
    <xf numFmtId="167" fontId="0" fillId="13" borderId="34" pivotButton="0" quotePrefix="0" xfId="0"/>
    <xf numFmtId="168" fontId="0" fillId="13" borderId="34" applyAlignment="1" pivotButton="0" quotePrefix="0" xfId="0">
      <alignment horizontal="center"/>
    </xf>
    <xf numFmtId="0" fontId="0" fillId="0" borderId="34" pivotButton="0" quotePrefix="0" xfId="0"/>
    <xf numFmtId="0" fontId="0" fillId="0" borderId="34" applyAlignment="1" pivotButton="0" quotePrefix="0" xfId="0">
      <alignment horizontal="center"/>
    </xf>
    <xf numFmtId="167" fontId="0" fillId="0" borderId="34" pivotButton="0" quotePrefix="0" xfId="0"/>
    <xf numFmtId="168" fontId="0" fillId="0" borderId="34" applyAlignment="1" pivotButton="0" quotePrefix="0" xfId="0">
      <alignment horizontal="center"/>
    </xf>
    <xf numFmtId="0" fontId="20" fillId="12" borderId="34" pivotButton="0" quotePrefix="0" xfId="0"/>
  </cellXfs>
  <cellStyles count="19">
    <cellStyle name="Normal" xfId="0" builtinId="0"/>
    <cellStyle name="Moeda" xfId="1" builtinId="4"/>
    <cellStyle name="Vírgula 3" xfId="2"/>
    <cellStyle name="Vírgula 2" xfId="3"/>
    <cellStyle name="Comma 2" xfId="4"/>
    <cellStyle name="Currency 2" xfId="5"/>
    <cellStyle name="Comma 3" xfId="6"/>
    <cellStyle name="Normal 10 2" xfId="7"/>
    <cellStyle name="Normal 3" xfId="8"/>
    <cellStyle name="Vírgula 2 2" xfId="9"/>
    <cellStyle name="Vírgula 2 3" xfId="10"/>
    <cellStyle name="Vírgula 4" xfId="11"/>
    <cellStyle name="Normal 2" xfId="12"/>
    <cellStyle name="Vírgula 3 2" xfId="13"/>
    <cellStyle name="Vírgula 2 4" xfId="14"/>
    <cellStyle name="Comma 2 2" xfId="15"/>
    <cellStyle name="Currency 2 2" xfId="16"/>
    <cellStyle name="Comma 3 2" xfId="17"/>
    <cellStyle name="Vírgula" xfId="18" builtinId="3"/>
  </cellStyles>
  <dxfs count="11"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8"/>
          <bgColor theme="3" tint="-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1043939</colOff>
      <row>1</row>
      <rowOff>176110</rowOff>
    </from>
    <to>
      <col>4</col>
      <colOff>1295399</colOff>
      <row>5</row>
      <rowOff>100289</rowOff>
    </to>
    <pic>
      <nvPicPr>
        <cNvPr id="4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24099" y="511390"/>
          <a:ext cx="2407920" cy="123100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1" displayName="Tabela1" ref="B11:H277" headerRowCount="1" totalsRowShown="0" headerRowDxfId="10" headerRowBorderDxfId="9" tableBorderDxfId="8" totalsRowBorderDxfId="7">
  <autoFilter ref="B11:H277">
    <filterColumn colId="4" hiddenButton="0" showButton="1">
      <filters>
        <filter val="1"/>
        <filter val="1,5"/>
        <filter val="10"/>
        <filter val="11"/>
        <filter val="15"/>
        <filter val="2"/>
        <filter val="200"/>
        <filter val="28"/>
        <filter val="3"/>
        <filter val="4"/>
        <filter val="400"/>
        <filter val="54"/>
        <filter val="6"/>
      </filters>
    </filterColumn>
  </autoFilter>
  <tableColumns count="7">
    <tableColumn id="1" name="Atividade" dataDxfId="6"/>
    <tableColumn id="2" name="Item" dataDxfId="5"/>
    <tableColumn id="3" name="Descrição" dataDxfId="4"/>
    <tableColumn id="4" name="Unid. Medida" dataDxfId="3" dataCellStyle="Moeda"/>
    <tableColumn id="5" name="Quant" dataDxfId="2"/>
    <tableColumn id="6" name="Valor Unit" dataDxfId="1" dataCellStyle="Moeda"/>
    <tableColumn id="7" name="Valor Total" dataDxfId="0" dataCellStyle="Moeda">
      <calculatedColumnFormula>G12*F12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B1:U3489"/>
  <sheetViews>
    <sheetView showGridLines="0" showRowColHeaders="0" topLeftCell="B1" zoomScaleNormal="100" workbookViewId="0">
      <selection activeCell="E10" sqref="E10"/>
    </sheetView>
  </sheetViews>
  <sheetFormatPr baseColWidth="8" defaultColWidth="8.6640625" defaultRowHeight="14.4"/>
  <cols>
    <col hidden="1" width="8.6640625" customWidth="1" style="13" min="1" max="1"/>
    <col width="9.109375" customWidth="1" style="13" min="2" max="3"/>
    <col width="30.77734375" bestFit="1" customWidth="1" style="13" min="4" max="4"/>
    <col width="33.77734375" customWidth="1" style="13" min="5" max="5"/>
    <col width="9.109375" customWidth="1" style="13" min="6" max="8"/>
    <col width="9.109375" customWidth="1" style="42" min="9" max="21"/>
    <col width="9.109375" customWidth="1" style="13" min="22" max="23"/>
    <col width="8.6640625" customWidth="1" style="13" min="24" max="16384"/>
  </cols>
  <sheetData>
    <row r="1" ht="26.4" customFormat="1" customHeight="1" s="18" thickBot="1">
      <c r="B1" s="41" t="n"/>
      <c r="C1" s="41" t="n"/>
      <c r="D1" s="41" t="n"/>
      <c r="E1" s="41" t="n"/>
      <c r="F1" s="43" t="n"/>
      <c r="G1" s="43" t="n"/>
      <c r="H1" s="43" t="n"/>
      <c r="I1" s="43" t="n"/>
      <c r="J1" s="44" t="n"/>
    </row>
    <row r="2" ht="25.8" customFormat="1" customHeight="1" s="18">
      <c r="B2" s="41" t="n"/>
      <c r="C2" s="41" t="n"/>
      <c r="D2" s="21" t="n"/>
      <c r="E2" s="22" t="n"/>
      <c r="F2" s="43" t="n"/>
      <c r="G2" s="43" t="n"/>
      <c r="H2" s="45" t="n"/>
      <c r="I2" s="44" t="n"/>
      <c r="J2" s="44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</row>
    <row r="3" ht="25.8" customFormat="1" customHeight="1" s="18">
      <c r="B3" s="41" t="n"/>
      <c r="C3" s="41" t="n"/>
      <c r="D3" s="23" t="n"/>
      <c r="E3" s="24" t="n"/>
      <c r="F3" s="43" t="n"/>
      <c r="G3" s="43" t="n"/>
      <c r="H3" s="45" t="n"/>
      <c r="I3" s="44" t="n"/>
      <c r="J3" s="44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</row>
    <row r="4" ht="25.8" customFormat="1" customHeight="1" s="18">
      <c r="B4" s="41" t="n"/>
      <c r="C4" s="41" t="n"/>
      <c r="D4" s="23" t="n"/>
      <c r="E4" s="24" t="n"/>
      <c r="F4" s="43" t="n"/>
      <c r="G4" s="43" t="n"/>
      <c r="H4" s="45" t="n"/>
      <c r="I4" s="44" t="n"/>
      <c r="J4" s="44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</row>
    <row r="5" ht="25.8" customFormat="1" customHeight="1" s="18">
      <c r="B5" s="41" t="n"/>
      <c r="C5" s="41" t="n"/>
      <c r="D5" s="23" t="n"/>
      <c r="E5" s="24" t="n"/>
      <c r="F5" s="43" t="n"/>
      <c r="G5" s="43" t="n"/>
      <c r="H5" s="45" t="n"/>
      <c r="I5" s="44" t="n"/>
      <c r="J5" s="44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</row>
    <row r="6" ht="26.4" customFormat="1" customHeight="1" s="18" thickBot="1">
      <c r="B6" s="41" t="n"/>
      <c r="C6" s="41" t="n"/>
      <c r="D6" s="25" t="n"/>
      <c r="E6" s="26" t="n"/>
      <c r="F6" s="43" t="n"/>
      <c r="G6" s="43" t="n"/>
      <c r="H6" s="43" t="n"/>
      <c r="I6" s="44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</row>
    <row r="7" ht="26.4" customFormat="1" customHeight="1" s="18" thickBot="1">
      <c r="B7" s="41" t="n"/>
      <c r="C7" s="41" t="n"/>
      <c r="D7" s="27" t="inlineStr">
        <is>
          <t>Data</t>
        </is>
      </c>
      <c r="E7" s="28" t="n">
        <v>46089</v>
      </c>
      <c r="F7" s="17">
        <f>IF(E7="","PREENCHIMENTO OBRIGATÓRIO","")</f>
        <v/>
      </c>
      <c r="H7" s="43" t="n"/>
      <c r="I7" s="44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</row>
    <row r="8" ht="27" customFormat="1" customHeight="1" s="18" thickBot="1" thickTop="1">
      <c r="B8" s="41" t="n"/>
      <c r="C8" s="41" t="n"/>
      <c r="D8" s="29" t="inlineStr">
        <is>
          <t>ID Highline</t>
        </is>
      </c>
      <c r="E8" s="28" t="inlineStr">
        <is>
          <t>PE4-SDM-002</t>
        </is>
      </c>
      <c r="F8" s="17">
        <f>IF(E8="","PREENCHIMENTO OBRIGATÓRIO","")</f>
        <v/>
      </c>
      <c r="G8" s="43" t="n"/>
      <c r="H8" s="43" t="n"/>
      <c r="I8" s="44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</row>
    <row r="9" ht="27" customFormat="1" customHeight="1" s="18" thickBot="1" thickTop="1">
      <c r="B9" s="41" t="n"/>
      <c r="C9" s="41" t="n"/>
      <c r="D9" s="32" t="inlineStr">
        <is>
          <t>Região</t>
        </is>
      </c>
      <c r="E9" s="31" t="inlineStr">
        <is>
          <t>Nordeste</t>
        </is>
      </c>
      <c r="F9" s="17">
        <f>IF(E9="","PREENCHIMENTO OBRIGATÓRIO","")</f>
        <v/>
      </c>
      <c r="G9" s="43" t="n"/>
      <c r="H9" s="43" t="n"/>
      <c r="I9" s="44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</row>
    <row r="10" ht="27" customFormat="1" customHeight="1" s="18" thickBot="1" thickTop="1">
      <c r="B10" s="41" t="n"/>
      <c r="C10" s="41" t="n"/>
      <c r="D10" s="29" t="inlineStr">
        <is>
          <t>PM / Coordenador</t>
        </is>
      </c>
      <c r="E10" s="30" t="inlineStr">
        <is>
          <t xml:space="preserve">Vinicius Barbieri </t>
        </is>
      </c>
      <c r="F10" s="17">
        <f>IF(E10="","PREENCHIMENTO OBRIGATÓRIO","")</f>
        <v/>
      </c>
      <c r="G10" s="43" t="n"/>
      <c r="H10" s="43" t="n"/>
      <c r="I10" s="44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</row>
    <row r="11" ht="27" customFormat="1" customHeight="1" s="18" thickBot="1" thickTop="1">
      <c r="B11" s="41" t="n"/>
      <c r="C11" s="41" t="n"/>
      <c r="D11" s="29" t="inlineStr">
        <is>
          <t>Cliente</t>
        </is>
      </c>
      <c r="E11" s="30" t="inlineStr">
        <is>
          <t>Claro</t>
        </is>
      </c>
      <c r="F11" s="45" t="n"/>
      <c r="G11" s="43" t="n"/>
      <c r="H11" s="45" t="n"/>
      <c r="I11" s="44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</row>
    <row r="12" ht="27" customFormat="1" customHeight="1" s="18" thickBot="1" thickTop="1">
      <c r="B12" s="41" t="n"/>
      <c r="C12" s="41" t="n"/>
      <c r="D12" s="29" t="inlineStr">
        <is>
          <t>Tipo de Site</t>
        </is>
      </c>
      <c r="E12" s="30" t="inlineStr">
        <is>
          <t>Collo - BTS</t>
        </is>
      </c>
      <c r="F12" s="17">
        <f>IF(E12="","PREENCHIMENTO OBRIGATÓRIO","")</f>
        <v/>
      </c>
      <c r="G12" s="43" t="n"/>
      <c r="H12" s="43" t="n"/>
      <c r="I12" s="44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</row>
    <row r="13" ht="26.4" customFormat="1" customHeight="1" s="18" thickTop="1">
      <c r="B13" s="41" t="n"/>
      <c r="C13" s="41" t="n"/>
      <c r="D13" s="10" t="n"/>
      <c r="E13" s="10" t="n"/>
      <c r="F13" s="43" t="n"/>
      <c r="G13" s="43" t="n"/>
      <c r="H13" s="43" t="n"/>
      <c r="I13" s="44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</row>
    <row r="14" ht="25.8" customFormat="1" customHeight="1" s="18">
      <c r="B14" s="41" t="n"/>
      <c r="C14" s="41" t="n"/>
      <c r="D14" s="10" t="n"/>
      <c r="E14" s="10" t="n"/>
      <c r="F14" s="43" t="n"/>
      <c r="G14" s="43" t="n"/>
      <c r="H14" s="43" t="n"/>
      <c r="I14" s="44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</row>
    <row r="15" ht="25.8" customHeight="1">
      <c r="B15" s="41" t="n"/>
      <c r="C15" s="41" t="n"/>
      <c r="F15" s="41" t="n"/>
      <c r="H15" s="41" t="n"/>
    </row>
    <row r="16" ht="25.8" customHeight="1">
      <c r="B16" s="41" t="n"/>
      <c r="C16" s="41" t="n"/>
      <c r="F16" s="41" t="n"/>
      <c r="H16" s="41" t="n"/>
    </row>
    <row r="17" ht="25.8" customHeight="1">
      <c r="B17" s="41" t="n"/>
      <c r="C17" s="41" t="n"/>
      <c r="F17" s="41" t="n"/>
      <c r="H17" s="41" t="n"/>
    </row>
    <row r="18" ht="25.8" customHeight="1">
      <c r="B18" s="41" t="n"/>
      <c r="C18" s="41" t="n"/>
      <c r="F18" s="41" t="n"/>
      <c r="H18" s="41" t="n"/>
    </row>
    <row r="19" ht="25.8" customHeight="1">
      <c r="B19" s="41" t="n"/>
      <c r="C19" s="41" t="n"/>
      <c r="F19" s="41" t="n"/>
      <c r="H19" s="41" t="n"/>
    </row>
    <row r="20" ht="25.8" customHeight="1">
      <c r="B20" s="41" t="n"/>
      <c r="C20" s="41" t="n"/>
      <c r="F20" s="41" t="n"/>
      <c r="H20" s="41" t="n"/>
    </row>
    <row r="21" ht="25.8" customHeight="1">
      <c r="B21" s="41" t="n"/>
      <c r="C21" s="41" t="n"/>
      <c r="F21" s="41" t="n"/>
      <c r="H21" s="41" t="n"/>
    </row>
    <row r="22" ht="25.8" customHeight="1">
      <c r="B22" s="41" t="n"/>
      <c r="C22" s="41" t="n"/>
      <c r="F22" s="41" t="n"/>
      <c r="H22" s="41" t="n"/>
    </row>
    <row r="23" ht="25.8" customHeight="1">
      <c r="B23" s="41" t="n"/>
      <c r="C23" s="41" t="n"/>
      <c r="F23" s="41" t="n"/>
      <c r="H23" s="41" t="n"/>
    </row>
    <row r="24" ht="25.8" customHeight="1">
      <c r="B24" s="41" t="n"/>
      <c r="C24" s="41" t="n"/>
      <c r="F24" s="41" t="n"/>
      <c r="H24" s="41" t="n"/>
    </row>
    <row r="25" ht="25.8" customHeight="1">
      <c r="B25" s="41" t="n"/>
      <c r="C25" s="41" t="n"/>
      <c r="F25" s="41" t="n"/>
      <c r="H25" s="41" t="n"/>
    </row>
    <row r="26" ht="25.8" customHeight="1">
      <c r="B26" s="41" t="n"/>
      <c r="C26" s="41" t="n"/>
      <c r="F26" s="41" t="n"/>
      <c r="H26" s="41" t="n"/>
    </row>
    <row r="27" ht="25.8" customHeight="1">
      <c r="B27" s="41" t="n"/>
      <c r="C27" s="41" t="n"/>
      <c r="F27" s="41" t="n"/>
      <c r="H27" s="41" t="n"/>
    </row>
    <row r="28" ht="25.8" customHeight="1">
      <c r="B28" s="41" t="n"/>
      <c r="C28" s="41" t="n"/>
      <c r="F28" s="41" t="n"/>
      <c r="H28" s="41" t="n"/>
    </row>
    <row r="29" ht="25.8" customHeight="1">
      <c r="B29" s="41" t="n"/>
      <c r="C29" s="41" t="n"/>
      <c r="F29" s="41" t="n"/>
      <c r="H29" s="41" t="n"/>
    </row>
    <row r="30" ht="25.8" customHeight="1">
      <c r="B30" s="41" t="n"/>
      <c r="C30" s="41" t="n"/>
      <c r="F30" s="41" t="n"/>
      <c r="H30" s="41" t="n"/>
    </row>
    <row r="31" ht="25.8" customHeight="1">
      <c r="B31" s="41" t="n"/>
      <c r="C31" s="41" t="n"/>
      <c r="F31" s="41" t="n"/>
      <c r="H31" s="41" t="n"/>
    </row>
    <row r="32" ht="25.8" customHeight="1">
      <c r="B32" s="41" t="n"/>
      <c r="C32" s="41" t="n"/>
      <c r="F32" s="41" t="n"/>
      <c r="H32" s="41" t="n"/>
    </row>
    <row r="33" ht="25.8" customHeight="1">
      <c r="B33" s="41" t="n"/>
      <c r="C33" s="41" t="n"/>
      <c r="F33" s="41" t="n"/>
      <c r="H33" s="41" t="n"/>
    </row>
    <row r="34" ht="25.8" customHeight="1">
      <c r="B34" s="41" t="n"/>
      <c r="C34" s="41" t="n"/>
      <c r="F34" s="41" t="n"/>
      <c r="H34" s="41" t="n"/>
    </row>
    <row r="35" ht="25.8" customHeight="1">
      <c r="B35" s="41" t="n"/>
      <c r="C35" s="41" t="n"/>
      <c r="F35" s="41" t="n"/>
      <c r="H35" s="41" t="n"/>
    </row>
    <row r="36" ht="25.8" customHeight="1">
      <c r="B36" s="41" t="n"/>
      <c r="C36" s="41" t="n"/>
      <c r="F36" s="41" t="n"/>
      <c r="H36" s="41" t="n"/>
    </row>
    <row r="37" ht="25.8" customHeight="1">
      <c r="B37" s="41" t="n"/>
      <c r="C37" s="41" t="n"/>
      <c r="F37" s="41" t="n"/>
      <c r="H37" s="41" t="n"/>
    </row>
    <row r="38" ht="25.8" customHeight="1">
      <c r="B38" s="41" t="n"/>
      <c r="C38" s="41" t="n"/>
      <c r="F38" s="41" t="n"/>
      <c r="H38" s="41" t="n"/>
    </row>
    <row r="39" ht="25.8" customHeight="1">
      <c r="B39" s="41" t="n"/>
      <c r="C39" s="41" t="n"/>
      <c r="F39" s="41" t="n"/>
      <c r="H39" s="41" t="n"/>
    </row>
    <row r="40" ht="25.8" customHeight="1">
      <c r="B40" s="41" t="n"/>
      <c r="C40" s="41" t="n"/>
      <c r="F40" s="41" t="n"/>
      <c r="H40" s="41" t="n"/>
    </row>
    <row r="41" ht="25.8" customHeight="1">
      <c r="B41" s="41" t="n"/>
      <c r="C41" s="41" t="n"/>
      <c r="F41" s="41" t="n"/>
      <c r="H41" s="41" t="n"/>
    </row>
    <row r="42" ht="25.8" customHeight="1">
      <c r="B42" s="41" t="n"/>
      <c r="C42" s="41" t="n"/>
      <c r="F42" s="41" t="n"/>
      <c r="H42" s="41" t="n"/>
    </row>
    <row r="43" ht="25.8" customHeight="1">
      <c r="B43" s="41" t="n"/>
      <c r="C43" s="41" t="n"/>
      <c r="F43" s="41" t="n"/>
      <c r="H43" s="41" t="n"/>
    </row>
    <row r="44" ht="25.8" customHeight="1">
      <c r="B44" s="41" t="n"/>
      <c r="C44" s="41" t="n"/>
      <c r="F44" s="41" t="n"/>
      <c r="H44" s="41" t="n"/>
    </row>
    <row r="45" ht="25.8" customHeight="1">
      <c r="B45" s="41" t="n"/>
      <c r="C45" s="41" t="n"/>
      <c r="F45" s="41" t="n"/>
      <c r="H45" s="41" t="n"/>
    </row>
    <row r="46" ht="25.8" customHeight="1">
      <c r="B46" s="41" t="n"/>
      <c r="C46" s="41" t="n"/>
      <c r="F46" s="41" t="n"/>
      <c r="H46" s="41" t="n"/>
    </row>
    <row r="47" ht="25.8" customHeight="1">
      <c r="B47" s="41" t="n"/>
      <c r="C47" s="41" t="n"/>
      <c r="F47" s="41" t="n"/>
      <c r="H47" s="41" t="n"/>
    </row>
    <row r="48" ht="25.8" customHeight="1">
      <c r="B48" s="41" t="n"/>
      <c r="C48" s="41" t="n"/>
      <c r="F48" s="41" t="n"/>
      <c r="H48" s="41" t="n"/>
    </row>
    <row r="49" ht="25.8" customHeight="1">
      <c r="B49" s="41" t="n"/>
      <c r="C49" s="41" t="n"/>
      <c r="F49" s="41" t="n"/>
      <c r="H49" s="41" t="n"/>
    </row>
    <row r="50" ht="25.8" customHeight="1">
      <c r="B50" s="41" t="n"/>
      <c r="C50" s="41" t="n"/>
      <c r="F50" s="41" t="n"/>
      <c r="H50" s="41" t="n"/>
    </row>
    <row r="51" ht="25.8" customHeight="1">
      <c r="B51" s="41" t="n"/>
      <c r="C51" s="41" t="n"/>
      <c r="F51" s="41" t="n"/>
      <c r="H51" s="41" t="n"/>
    </row>
    <row r="52" ht="25.8" customHeight="1">
      <c r="B52" s="41" t="n"/>
      <c r="C52" s="41" t="n"/>
      <c r="F52" s="41" t="n"/>
      <c r="H52" s="41" t="n"/>
    </row>
    <row r="53" ht="25.8" customHeight="1">
      <c r="B53" s="41" t="n"/>
      <c r="C53" s="41" t="n"/>
      <c r="F53" s="41" t="n"/>
      <c r="H53" s="41" t="n"/>
    </row>
    <row r="54" ht="25.8" customHeight="1">
      <c r="B54" s="41" t="n"/>
      <c r="C54" s="41" t="n"/>
      <c r="F54" s="41" t="n"/>
      <c r="H54" s="41" t="n"/>
    </row>
    <row r="55" ht="25.8" customHeight="1">
      <c r="B55" s="41" t="n"/>
      <c r="C55" s="41" t="n"/>
      <c r="F55" s="41" t="n"/>
      <c r="H55" s="41" t="n"/>
    </row>
    <row r="56" ht="25.8" customHeight="1">
      <c r="B56" s="41" t="n"/>
      <c r="C56" s="41" t="n"/>
      <c r="F56" s="41" t="n"/>
      <c r="H56" s="41" t="n"/>
    </row>
    <row r="57" ht="25.8" customHeight="1">
      <c r="B57" s="41" t="n"/>
      <c r="C57" s="41" t="n"/>
      <c r="F57" s="41" t="n"/>
      <c r="H57" s="41" t="n"/>
    </row>
    <row r="58" ht="25.8" customHeight="1">
      <c r="B58" s="41" t="n"/>
      <c r="C58" s="41" t="n"/>
      <c r="F58" s="41" t="n"/>
      <c r="H58" s="41" t="n"/>
    </row>
    <row r="59" ht="25.8" customHeight="1">
      <c r="B59" s="41" t="n"/>
      <c r="C59" s="41" t="n"/>
      <c r="F59" s="41" t="n"/>
      <c r="H59" s="41" t="n"/>
    </row>
    <row r="60" ht="25.8" customHeight="1">
      <c r="B60" s="41" t="n"/>
      <c r="C60" s="41" t="n"/>
      <c r="F60" s="41" t="n"/>
      <c r="H60" s="41" t="n"/>
    </row>
    <row r="61" ht="25.8" customHeight="1">
      <c r="B61" s="41" t="n"/>
      <c r="C61" s="41" t="n"/>
      <c r="F61" s="41" t="n"/>
      <c r="H61" s="41" t="n"/>
    </row>
    <row r="62" ht="25.8" customHeight="1">
      <c r="B62" s="41" t="n"/>
      <c r="C62" s="41" t="n"/>
      <c r="F62" s="41" t="n"/>
      <c r="H62" s="41" t="n"/>
    </row>
    <row r="63" ht="25.8" customHeight="1">
      <c r="B63" s="41" t="n"/>
      <c r="C63" s="41" t="n"/>
      <c r="F63" s="41" t="n"/>
      <c r="H63" s="41" t="n"/>
    </row>
    <row r="64" ht="25.8" customHeight="1">
      <c r="B64" s="41" t="n"/>
      <c r="C64" s="41" t="n"/>
      <c r="F64" s="41" t="n"/>
      <c r="H64" s="41" t="n"/>
    </row>
    <row r="65" ht="25.8" customHeight="1">
      <c r="B65" s="41" t="n"/>
      <c r="C65" s="41" t="n"/>
      <c r="F65" s="41" t="n"/>
      <c r="H65" s="41" t="n"/>
    </row>
    <row r="66" ht="25.8" customHeight="1">
      <c r="B66" s="41" t="n"/>
      <c r="C66" s="41" t="n"/>
      <c r="F66" s="41" t="n"/>
      <c r="H66" s="41" t="n"/>
    </row>
    <row r="67" ht="25.8" customHeight="1">
      <c r="B67" s="41" t="n"/>
      <c r="C67" s="41" t="n"/>
      <c r="F67" s="41" t="n"/>
      <c r="H67" s="41" t="n"/>
    </row>
    <row r="68" ht="25.8" customHeight="1">
      <c r="B68" s="41" t="n"/>
      <c r="C68" s="41" t="n"/>
      <c r="F68" s="41" t="n"/>
      <c r="H68" s="41" t="n"/>
    </row>
    <row r="69" ht="25.8" customHeight="1">
      <c r="B69" s="41" t="n"/>
      <c r="C69" s="41" t="n"/>
      <c r="F69" s="41" t="n"/>
      <c r="H69" s="41" t="n"/>
    </row>
    <row r="70" ht="25.8" customHeight="1">
      <c r="B70" s="41" t="n"/>
      <c r="C70" s="41" t="n"/>
      <c r="F70" s="41" t="n"/>
      <c r="H70" s="41" t="n"/>
    </row>
    <row r="71" ht="25.8" customHeight="1">
      <c r="B71" s="41" t="n"/>
      <c r="C71" s="41" t="n"/>
      <c r="F71" s="41" t="n"/>
      <c r="H71" s="41" t="n"/>
    </row>
    <row r="72" ht="25.8" customHeight="1">
      <c r="B72" s="41" t="n"/>
      <c r="C72" s="41" t="n"/>
      <c r="F72" s="41" t="n"/>
      <c r="H72" s="41" t="n"/>
    </row>
    <row r="73" ht="25.8" customHeight="1">
      <c r="B73" s="41" t="n"/>
      <c r="C73" s="41" t="n"/>
      <c r="F73" s="41" t="n"/>
      <c r="H73" s="41" t="n"/>
    </row>
    <row r="74" ht="25.8" customHeight="1">
      <c r="B74" s="41" t="n"/>
      <c r="C74" s="41" t="n"/>
      <c r="F74" s="41" t="n"/>
      <c r="H74" s="41" t="n"/>
    </row>
    <row r="75" ht="25.8" customHeight="1">
      <c r="B75" s="41" t="n"/>
      <c r="C75" s="41" t="n"/>
      <c r="F75" s="41" t="n"/>
      <c r="H75" s="41" t="n"/>
    </row>
    <row r="76" ht="25.8" customHeight="1">
      <c r="B76" s="41" t="n"/>
      <c r="C76" s="41" t="n"/>
      <c r="F76" s="41" t="n"/>
      <c r="H76" s="41" t="n"/>
    </row>
    <row r="77" ht="25.8" customHeight="1">
      <c r="B77" s="41" t="n"/>
      <c r="C77" s="41" t="n"/>
      <c r="F77" s="41" t="n"/>
      <c r="H77" s="41" t="n"/>
    </row>
    <row r="78" ht="25.8" customHeight="1">
      <c r="B78" s="41" t="n"/>
      <c r="C78" s="41" t="n"/>
      <c r="F78" s="41" t="n"/>
      <c r="H78" s="41" t="n"/>
    </row>
    <row r="79" ht="25.8" customHeight="1">
      <c r="B79" s="41" t="n"/>
      <c r="C79" s="41" t="n"/>
      <c r="F79" s="41" t="n"/>
      <c r="H79" s="41" t="n"/>
    </row>
    <row r="80" ht="25.8" customHeight="1">
      <c r="B80" s="41" t="n"/>
      <c r="C80" s="41" t="n"/>
      <c r="F80" s="41" t="n"/>
      <c r="H80" s="41" t="n"/>
    </row>
    <row r="81" ht="25.8" customHeight="1">
      <c r="B81" s="41" t="n"/>
      <c r="C81" s="41" t="n"/>
      <c r="F81" s="41" t="n"/>
      <c r="H81" s="41" t="n"/>
    </row>
    <row r="82" ht="25.8" customHeight="1">
      <c r="B82" s="41" t="n"/>
      <c r="C82" s="41" t="n"/>
      <c r="F82" s="41" t="n"/>
      <c r="H82" s="41" t="n"/>
    </row>
    <row r="83" ht="25.8" customHeight="1">
      <c r="B83" s="41" t="n"/>
      <c r="C83" s="41" t="n"/>
      <c r="F83" s="41" t="n"/>
      <c r="H83" s="41" t="n"/>
    </row>
    <row r="84" ht="25.8" customHeight="1">
      <c r="B84" s="41" t="n"/>
      <c r="C84" s="41" t="n"/>
      <c r="F84" s="41" t="n"/>
      <c r="H84" s="41" t="n"/>
    </row>
    <row r="85" ht="25.8" customHeight="1">
      <c r="B85" s="41" t="n"/>
      <c r="C85" s="41" t="n"/>
      <c r="F85" s="41" t="n"/>
      <c r="H85" s="41" t="n"/>
    </row>
    <row r="86" ht="25.8" customHeight="1">
      <c r="B86" s="41" t="n"/>
      <c r="C86" s="41" t="n"/>
      <c r="F86" s="41" t="n"/>
      <c r="H86" s="41" t="n"/>
    </row>
    <row r="87" ht="25.8" customHeight="1">
      <c r="B87" s="41" t="n"/>
      <c r="C87" s="41" t="n"/>
      <c r="F87" s="41" t="n"/>
      <c r="H87" s="41" t="n"/>
    </row>
    <row r="88" ht="25.8" customHeight="1">
      <c r="B88" s="41" t="n"/>
      <c r="C88" s="41" t="n"/>
      <c r="F88" s="41" t="n"/>
      <c r="H88" s="41" t="n"/>
    </row>
    <row r="89" ht="25.8" customHeight="1">
      <c r="B89" s="41" t="n"/>
      <c r="C89" s="41" t="n"/>
      <c r="F89" s="41" t="n"/>
      <c r="H89" s="41" t="n"/>
    </row>
    <row r="90" ht="25.8" customHeight="1">
      <c r="B90" s="41" t="n"/>
      <c r="C90" s="41" t="n"/>
      <c r="F90" s="41" t="n"/>
      <c r="H90" s="41" t="n"/>
    </row>
    <row r="91" ht="25.8" customHeight="1">
      <c r="B91" s="41" t="n"/>
      <c r="C91" s="41" t="n"/>
      <c r="F91" s="41" t="n"/>
      <c r="H91" s="41" t="n"/>
    </row>
    <row r="92" ht="25.8" customHeight="1">
      <c r="B92" s="41" t="n"/>
      <c r="C92" s="41" t="n"/>
      <c r="F92" s="41" t="n"/>
      <c r="H92" s="41" t="n"/>
    </row>
    <row r="93" ht="25.8" customHeight="1">
      <c r="B93" s="41" t="n"/>
      <c r="C93" s="41" t="n"/>
      <c r="F93" s="41" t="n"/>
      <c r="H93" s="41" t="n"/>
    </row>
    <row r="94" ht="25.8" customHeight="1">
      <c r="B94" s="41" t="n"/>
      <c r="C94" s="41" t="n"/>
      <c r="F94" s="41" t="n"/>
      <c r="H94" s="41" t="n"/>
    </row>
    <row r="95" ht="25.8" customHeight="1">
      <c r="B95" s="41" t="n"/>
      <c r="C95" s="41" t="n"/>
      <c r="F95" s="41" t="n"/>
      <c r="H95" s="41" t="n"/>
    </row>
    <row r="96" ht="25.8" customHeight="1">
      <c r="B96" s="41" t="n"/>
      <c r="C96" s="41" t="n"/>
      <c r="F96" s="41" t="n"/>
      <c r="H96" s="41" t="n"/>
    </row>
    <row r="97" ht="25.8" customHeight="1">
      <c r="B97" s="41" t="n"/>
      <c r="C97" s="41" t="n"/>
      <c r="F97" s="41" t="n"/>
      <c r="H97" s="41" t="n"/>
    </row>
    <row r="98" ht="25.8" customHeight="1">
      <c r="B98" s="41" t="n"/>
      <c r="C98" s="41" t="n"/>
      <c r="F98" s="41" t="n"/>
      <c r="H98" s="41" t="n"/>
    </row>
    <row r="99" ht="25.8" customHeight="1">
      <c r="B99" s="41" t="n"/>
      <c r="C99" s="41" t="n"/>
      <c r="F99" s="41" t="n"/>
      <c r="H99" s="41" t="n"/>
    </row>
    <row r="100" ht="25.8" customHeight="1">
      <c r="B100" s="41" t="n"/>
      <c r="C100" s="41" t="n"/>
      <c r="F100" s="41" t="n"/>
      <c r="H100" s="41" t="n"/>
    </row>
    <row r="101" ht="25.8" customHeight="1">
      <c r="B101" s="41" t="n"/>
      <c r="C101" s="41" t="n"/>
      <c r="F101" s="41" t="n"/>
      <c r="H101" s="41" t="n"/>
    </row>
    <row r="102" ht="25.8" customHeight="1">
      <c r="B102" s="41" t="n"/>
      <c r="C102" s="41" t="n"/>
      <c r="F102" s="41" t="n"/>
      <c r="H102" s="41" t="n"/>
    </row>
    <row r="103" ht="25.8" customHeight="1">
      <c r="B103" s="41" t="n"/>
      <c r="C103" s="41" t="n"/>
      <c r="F103" s="41" t="n"/>
      <c r="H103" s="41" t="n"/>
    </row>
    <row r="104" ht="25.8" customHeight="1">
      <c r="B104" s="41" t="n"/>
      <c r="C104" s="41" t="n"/>
      <c r="F104" s="41" t="n"/>
      <c r="H104" s="41" t="n"/>
    </row>
    <row r="105" ht="25.8" customHeight="1">
      <c r="B105" s="41" t="n"/>
      <c r="C105" s="41" t="n"/>
      <c r="F105" s="41" t="n"/>
      <c r="H105" s="41" t="n"/>
    </row>
    <row r="106" ht="25.8" customHeight="1">
      <c r="B106" s="41" t="n"/>
      <c r="C106" s="41" t="n"/>
      <c r="F106" s="41" t="n"/>
      <c r="H106" s="41" t="n"/>
    </row>
    <row r="107" ht="25.8" customHeight="1">
      <c r="B107" s="41" t="n"/>
      <c r="C107" s="41" t="n"/>
      <c r="F107" s="41" t="n"/>
      <c r="H107" s="41" t="n"/>
    </row>
    <row r="108" ht="25.8" customHeight="1">
      <c r="B108" s="41" t="n"/>
      <c r="C108" s="41" t="n"/>
      <c r="F108" s="41" t="n"/>
      <c r="H108" s="41" t="n"/>
    </row>
    <row r="109" ht="25.8" customHeight="1">
      <c r="B109" s="41" t="n"/>
      <c r="C109" s="41" t="n"/>
      <c r="F109" s="41" t="n"/>
      <c r="H109" s="41" t="n"/>
    </row>
    <row r="110" ht="25.8" customHeight="1">
      <c r="B110" s="41" t="n"/>
      <c r="C110" s="41" t="n"/>
      <c r="F110" s="41" t="n"/>
      <c r="H110" s="41" t="n"/>
    </row>
    <row r="111" ht="25.8" customHeight="1">
      <c r="B111" s="41" t="n"/>
      <c r="C111" s="41" t="n"/>
      <c r="F111" s="41" t="n"/>
      <c r="H111" s="41" t="n"/>
    </row>
    <row r="112" ht="25.8" customHeight="1">
      <c r="B112" s="41" t="n"/>
      <c r="C112" s="41" t="n"/>
      <c r="F112" s="41" t="n"/>
      <c r="H112" s="41" t="n"/>
    </row>
    <row r="113" ht="25.8" customHeight="1">
      <c r="B113" s="41" t="n"/>
      <c r="C113" s="41" t="n"/>
      <c r="F113" s="41" t="n"/>
      <c r="H113" s="41" t="n"/>
    </row>
    <row r="114" ht="25.8" customHeight="1">
      <c r="B114" s="41" t="n"/>
      <c r="C114" s="41" t="n"/>
      <c r="F114" s="41" t="n"/>
      <c r="H114" s="41" t="n"/>
    </row>
    <row r="115" ht="25.8" customHeight="1">
      <c r="B115" s="41" t="n"/>
      <c r="C115" s="41" t="n"/>
      <c r="F115" s="41" t="n"/>
      <c r="H115" s="41" t="n"/>
    </row>
    <row r="116" ht="25.8" customHeight="1">
      <c r="B116" s="41" t="n"/>
      <c r="C116" s="41" t="n"/>
      <c r="F116" s="41" t="n"/>
      <c r="H116" s="41" t="n"/>
    </row>
    <row r="117" ht="25.8" customHeight="1">
      <c r="B117" s="41" t="n"/>
      <c r="C117" s="41" t="n"/>
      <c r="F117" s="41" t="n"/>
      <c r="H117" s="41" t="n"/>
    </row>
    <row r="118" ht="25.8" customHeight="1">
      <c r="B118" s="41" t="n"/>
      <c r="C118" s="41" t="n"/>
      <c r="F118" s="41" t="n"/>
      <c r="H118" s="41" t="n"/>
    </row>
    <row r="119" ht="25.8" customHeight="1">
      <c r="B119" s="41" t="n"/>
      <c r="C119" s="41" t="n"/>
      <c r="F119" s="41" t="n"/>
      <c r="H119" s="41" t="n"/>
    </row>
    <row r="120" ht="25.8" customHeight="1">
      <c r="B120" s="41" t="n"/>
      <c r="C120" s="41" t="n"/>
      <c r="F120" s="41" t="n"/>
      <c r="H120" s="41" t="n"/>
    </row>
    <row r="121" ht="25.8" customHeight="1">
      <c r="B121" s="41" t="n"/>
      <c r="C121" s="41" t="n"/>
      <c r="F121" s="41" t="n"/>
      <c r="H121" s="41" t="n"/>
    </row>
    <row r="122" ht="25.8" customHeight="1">
      <c r="B122" s="41" t="n"/>
      <c r="C122" s="41" t="n"/>
      <c r="F122" s="41" t="n"/>
      <c r="H122" s="41" t="n"/>
    </row>
    <row r="123" ht="25.8" customHeight="1">
      <c r="B123" s="41" t="n"/>
      <c r="C123" s="41" t="n"/>
      <c r="F123" s="41" t="n"/>
      <c r="H123" s="41" t="n"/>
    </row>
    <row r="124" ht="25.8" customHeight="1">
      <c r="B124" s="41" t="n"/>
      <c r="C124" s="41" t="n"/>
      <c r="F124" s="41" t="n"/>
      <c r="H124" s="41" t="n"/>
    </row>
    <row r="125" ht="25.8" customHeight="1">
      <c r="B125" s="41" t="n"/>
      <c r="C125" s="41" t="n"/>
      <c r="F125" s="41" t="n"/>
      <c r="H125" s="41" t="n"/>
    </row>
    <row r="126" ht="25.8" customHeight="1">
      <c r="B126" s="41" t="n"/>
      <c r="C126" s="41" t="n"/>
      <c r="F126" s="41" t="n"/>
      <c r="H126" s="41" t="n"/>
    </row>
    <row r="127" ht="25.8" customHeight="1">
      <c r="B127" s="41" t="n"/>
      <c r="C127" s="41" t="n"/>
      <c r="F127" s="41" t="n"/>
      <c r="H127" s="41" t="n"/>
    </row>
    <row r="128" ht="25.8" customHeight="1">
      <c r="B128" s="41" t="n"/>
      <c r="C128" s="41" t="n"/>
      <c r="F128" s="41" t="n"/>
      <c r="H128" s="41" t="n"/>
    </row>
    <row r="129" ht="25.8" customHeight="1">
      <c r="B129" s="41" t="n"/>
      <c r="C129" s="41" t="n"/>
      <c r="F129" s="41" t="n"/>
      <c r="H129" s="41" t="n"/>
    </row>
    <row r="130" ht="25.8" customHeight="1">
      <c r="B130" s="41" t="n"/>
      <c r="C130" s="41" t="n"/>
      <c r="F130" s="41" t="n"/>
      <c r="H130" s="41" t="n"/>
    </row>
    <row r="131" ht="25.8" customHeight="1">
      <c r="B131" s="41" t="n"/>
      <c r="C131" s="41" t="n"/>
      <c r="F131" s="41" t="n"/>
      <c r="H131" s="41" t="n"/>
    </row>
    <row r="132" ht="25.8" customHeight="1">
      <c r="B132" s="41" t="n"/>
      <c r="C132" s="41" t="n"/>
      <c r="F132" s="41" t="n"/>
      <c r="H132" s="41" t="n"/>
    </row>
    <row r="133" ht="25.8" customHeight="1">
      <c r="B133" s="41" t="n"/>
      <c r="C133" s="41" t="n"/>
      <c r="F133" s="41" t="n"/>
      <c r="H133" s="41" t="n"/>
    </row>
    <row r="134" ht="25.8" customHeight="1">
      <c r="B134" s="41" t="n"/>
      <c r="C134" s="41" t="n"/>
      <c r="F134" s="41" t="n"/>
      <c r="H134" s="41" t="n"/>
    </row>
    <row r="135" ht="25.8" customHeight="1">
      <c r="B135" s="41" t="n"/>
      <c r="C135" s="41" t="n"/>
      <c r="F135" s="41" t="n"/>
      <c r="H135" s="41" t="n"/>
    </row>
    <row r="136" ht="25.8" customHeight="1">
      <c r="B136" s="41" t="n"/>
      <c r="C136" s="41" t="n"/>
      <c r="F136" s="41" t="n"/>
      <c r="H136" s="41" t="n"/>
    </row>
    <row r="137" ht="25.8" customHeight="1">
      <c r="B137" s="41" t="n"/>
      <c r="C137" s="41" t="n"/>
      <c r="F137" s="41" t="n"/>
      <c r="H137" s="41" t="n"/>
    </row>
    <row r="138" ht="25.8" customHeight="1">
      <c r="B138" s="41" t="n"/>
      <c r="C138" s="41" t="n"/>
      <c r="F138" s="41" t="n"/>
      <c r="H138" s="41" t="n"/>
    </row>
    <row r="139" ht="25.8" customHeight="1">
      <c r="B139" s="41" t="n"/>
      <c r="C139" s="41" t="n"/>
      <c r="F139" s="41" t="n"/>
      <c r="H139" s="41" t="n"/>
    </row>
    <row r="140" ht="25.8" customHeight="1">
      <c r="B140" s="41" t="n"/>
      <c r="C140" s="41" t="n"/>
      <c r="F140" s="41" t="n"/>
      <c r="H140" s="41" t="n"/>
    </row>
    <row r="141" ht="25.8" customHeight="1">
      <c r="B141" s="41" t="n"/>
      <c r="C141" s="41" t="n"/>
      <c r="F141" s="41" t="n"/>
      <c r="H141" s="41" t="n"/>
    </row>
    <row r="142" ht="25.8" customHeight="1">
      <c r="B142" s="41" t="n"/>
      <c r="C142" s="41" t="n"/>
      <c r="F142" s="41" t="n"/>
      <c r="H142" s="41" t="n"/>
    </row>
    <row r="143" ht="25.8" customHeight="1">
      <c r="B143" s="41" t="n"/>
      <c r="C143" s="41" t="n"/>
      <c r="F143" s="41" t="n"/>
      <c r="H143" s="41" t="n"/>
    </row>
    <row r="144" ht="25.8" customHeight="1">
      <c r="B144" s="41" t="n"/>
      <c r="C144" s="41" t="n"/>
      <c r="F144" s="41" t="n"/>
      <c r="H144" s="41" t="n"/>
    </row>
    <row r="145" ht="25.8" customHeight="1">
      <c r="B145" s="41" t="n"/>
      <c r="C145" s="41" t="n"/>
      <c r="F145" s="41" t="n"/>
      <c r="H145" s="41" t="n"/>
    </row>
    <row r="146" ht="25.8" customHeight="1">
      <c r="B146" s="41" t="n"/>
      <c r="C146" s="41" t="n"/>
      <c r="F146" s="41" t="n"/>
      <c r="H146" s="41" t="n"/>
    </row>
    <row r="147" ht="25.8" customHeight="1">
      <c r="B147" s="41" t="n"/>
      <c r="C147" s="41" t="n"/>
      <c r="F147" s="41" t="n"/>
      <c r="H147" s="41" t="n"/>
    </row>
    <row r="148" ht="25.8" customHeight="1">
      <c r="B148" s="41" t="n"/>
      <c r="C148" s="41" t="n"/>
      <c r="F148" s="41" t="n"/>
      <c r="H148" s="41" t="n"/>
    </row>
    <row r="149" ht="25.8" customHeight="1">
      <c r="B149" s="41" t="n"/>
      <c r="C149" s="41" t="n"/>
      <c r="F149" s="41" t="n"/>
      <c r="H149" s="41" t="n"/>
    </row>
    <row r="150" ht="25.8" customHeight="1">
      <c r="B150" s="41" t="n"/>
      <c r="C150" s="41" t="n"/>
      <c r="F150" s="41" t="n"/>
      <c r="H150" s="41" t="n"/>
    </row>
    <row r="151" ht="25.8" customHeight="1">
      <c r="B151" s="41" t="n"/>
      <c r="C151" s="41" t="n"/>
      <c r="F151" s="41" t="n"/>
      <c r="H151" s="41" t="n"/>
    </row>
    <row r="152" ht="25.8" customHeight="1">
      <c r="B152" s="41" t="n"/>
      <c r="C152" s="41" t="n"/>
      <c r="F152" s="41" t="n"/>
      <c r="H152" s="41" t="n"/>
    </row>
    <row r="153" ht="25.8" customHeight="1">
      <c r="B153" s="41" t="n"/>
      <c r="C153" s="41" t="n"/>
      <c r="F153" s="41" t="n"/>
      <c r="H153" s="41" t="n"/>
    </row>
    <row r="154" ht="25.8" customHeight="1">
      <c r="B154" s="41" t="n"/>
      <c r="C154" s="41" t="n"/>
      <c r="F154" s="41" t="n"/>
      <c r="H154" s="41" t="n"/>
    </row>
    <row r="155" ht="25.8" customHeight="1">
      <c r="B155" s="41" t="n"/>
      <c r="C155" s="41" t="n"/>
      <c r="F155" s="41" t="n"/>
      <c r="H155" s="41" t="n"/>
    </row>
    <row r="156" ht="25.8" customHeight="1">
      <c r="B156" s="41" t="n"/>
      <c r="C156" s="41" t="n"/>
      <c r="F156" s="41" t="n"/>
      <c r="H156" s="41" t="n"/>
    </row>
    <row r="157" ht="25.8" customHeight="1">
      <c r="B157" s="41" t="n"/>
      <c r="C157" s="41" t="n"/>
      <c r="F157" s="41" t="n"/>
      <c r="H157" s="41" t="n"/>
    </row>
    <row r="158" ht="25.8" customHeight="1">
      <c r="B158" s="41" t="n"/>
      <c r="C158" s="41" t="n"/>
      <c r="F158" s="41" t="n"/>
      <c r="H158" s="41" t="n"/>
    </row>
    <row r="159" ht="25.8" customHeight="1">
      <c r="B159" s="41" t="n"/>
      <c r="C159" s="41" t="n"/>
      <c r="F159" s="41" t="n"/>
      <c r="H159" s="41" t="n"/>
    </row>
    <row r="160" ht="25.8" customHeight="1">
      <c r="B160" s="41" t="n"/>
      <c r="C160" s="41" t="n"/>
      <c r="F160" s="41" t="n"/>
      <c r="H160" s="41" t="n"/>
    </row>
    <row r="161" ht="25.8" customHeight="1">
      <c r="B161" s="41" t="n"/>
      <c r="C161" s="41" t="n"/>
      <c r="F161" s="41" t="n"/>
      <c r="H161" s="41" t="n"/>
    </row>
    <row r="162" ht="25.8" customHeight="1">
      <c r="B162" s="41" t="n"/>
      <c r="C162" s="41" t="n"/>
      <c r="F162" s="41" t="n"/>
      <c r="H162" s="41" t="n"/>
    </row>
    <row r="163" ht="25.8" customHeight="1">
      <c r="B163" s="41" t="n"/>
      <c r="C163" s="41" t="n"/>
      <c r="F163" s="41" t="n"/>
      <c r="H163" s="41" t="n"/>
    </row>
    <row r="164" ht="25.8" customHeight="1">
      <c r="B164" s="41" t="n"/>
      <c r="C164" s="41" t="n"/>
      <c r="F164" s="41" t="n"/>
      <c r="H164" s="41" t="n"/>
    </row>
    <row r="165" ht="25.8" customHeight="1">
      <c r="B165" s="41" t="n"/>
      <c r="C165" s="41" t="n"/>
      <c r="F165" s="41" t="n"/>
      <c r="H165" s="41" t="n"/>
    </row>
    <row r="166" ht="25.8" customHeight="1">
      <c r="B166" s="41" t="n"/>
      <c r="C166" s="41" t="n"/>
      <c r="F166" s="41" t="n"/>
      <c r="H166" s="41" t="n"/>
    </row>
    <row r="167" ht="25.8" customHeight="1">
      <c r="B167" s="41" t="n"/>
      <c r="C167" s="41" t="n"/>
      <c r="F167" s="41" t="n"/>
      <c r="H167" s="41" t="n"/>
    </row>
    <row r="168" ht="25.8" customHeight="1">
      <c r="B168" s="41" t="n"/>
      <c r="C168" s="41" t="n"/>
      <c r="F168" s="41" t="n"/>
      <c r="H168" s="41" t="n"/>
    </row>
    <row r="169" ht="25.8" customHeight="1">
      <c r="B169" s="41" t="n"/>
      <c r="C169" s="41" t="n"/>
      <c r="F169" s="41" t="n"/>
      <c r="H169" s="41" t="n"/>
    </row>
    <row r="170" ht="25.8" customHeight="1">
      <c r="B170" s="41" t="n"/>
      <c r="C170" s="41" t="n"/>
      <c r="F170" s="41" t="n"/>
      <c r="H170" s="41" t="n"/>
    </row>
    <row r="171" ht="25.8" customHeight="1">
      <c r="B171" s="41" t="n"/>
      <c r="C171" s="41" t="n"/>
      <c r="F171" s="41" t="n"/>
      <c r="H171" s="41" t="n"/>
    </row>
    <row r="172" ht="25.8" customHeight="1">
      <c r="B172" s="41" t="n"/>
      <c r="C172" s="41" t="n"/>
      <c r="F172" s="41" t="n"/>
      <c r="H172" s="41" t="n"/>
    </row>
    <row r="173" ht="25.8" customHeight="1">
      <c r="B173" s="41" t="n"/>
      <c r="C173" s="41" t="n"/>
      <c r="F173" s="41" t="n"/>
      <c r="H173" s="41" t="n"/>
    </row>
    <row r="174" ht="25.8" customHeight="1">
      <c r="B174" s="41" t="n"/>
      <c r="C174" s="41" t="n"/>
      <c r="F174" s="41" t="n"/>
      <c r="H174" s="41" t="n"/>
    </row>
    <row r="175" ht="25.8" customHeight="1">
      <c r="B175" s="41" t="n"/>
      <c r="C175" s="41" t="n"/>
      <c r="F175" s="41" t="n"/>
      <c r="H175" s="41" t="n"/>
    </row>
    <row r="176" ht="25.8" customHeight="1">
      <c r="B176" s="41" t="n"/>
      <c r="C176" s="41" t="n"/>
      <c r="F176" s="41" t="n"/>
      <c r="H176" s="41" t="n"/>
    </row>
    <row r="177" ht="25.8" customHeight="1">
      <c r="B177" s="41" t="n"/>
      <c r="C177" s="41" t="n"/>
      <c r="F177" s="41" t="n"/>
      <c r="H177" s="41" t="n"/>
    </row>
    <row r="178" ht="25.8" customHeight="1">
      <c r="B178" s="41" t="n"/>
      <c r="C178" s="41" t="n"/>
      <c r="F178" s="41" t="n"/>
      <c r="H178" s="41" t="n"/>
    </row>
    <row r="179" ht="25.8" customHeight="1">
      <c r="B179" s="41" t="n"/>
      <c r="C179" s="41" t="n"/>
      <c r="F179" s="41" t="n"/>
      <c r="H179" s="41" t="n"/>
    </row>
    <row r="180" ht="25.8" customHeight="1">
      <c r="B180" s="41" t="n"/>
      <c r="C180" s="41" t="n"/>
      <c r="F180" s="41" t="n"/>
      <c r="H180" s="41" t="n"/>
    </row>
    <row r="181" ht="25.8" customHeight="1">
      <c r="B181" s="41" t="n"/>
      <c r="C181" s="41" t="n"/>
      <c r="F181" s="41" t="n"/>
      <c r="H181" s="41" t="n"/>
    </row>
    <row r="182" ht="25.8" customHeight="1">
      <c r="B182" s="41" t="n"/>
      <c r="C182" s="41" t="n"/>
      <c r="F182" s="41" t="n"/>
      <c r="H182" s="41" t="n"/>
    </row>
    <row r="183" ht="25.8" customHeight="1">
      <c r="B183" s="41" t="n"/>
      <c r="C183" s="41" t="n"/>
      <c r="F183" s="41" t="n"/>
      <c r="H183" s="41" t="n"/>
    </row>
    <row r="184" ht="25.8" customHeight="1">
      <c r="B184" s="41" t="n"/>
      <c r="C184" s="41" t="n"/>
      <c r="F184" s="41" t="n"/>
      <c r="H184" s="41" t="n"/>
    </row>
    <row r="185" ht="25.8" customHeight="1">
      <c r="B185" s="41" t="n"/>
      <c r="C185" s="41" t="n"/>
      <c r="F185" s="41" t="n"/>
      <c r="H185" s="41" t="n"/>
    </row>
    <row r="186" ht="25.8" customHeight="1">
      <c r="B186" s="41" t="n"/>
      <c r="C186" s="41" t="n"/>
      <c r="F186" s="41" t="n"/>
      <c r="H186" s="41" t="n"/>
    </row>
    <row r="187" ht="25.8" customHeight="1">
      <c r="B187" s="41" t="n"/>
      <c r="C187" s="41" t="n"/>
      <c r="F187" s="41" t="n"/>
      <c r="H187" s="41" t="n"/>
    </row>
    <row r="188" ht="25.8" customHeight="1">
      <c r="B188" s="41" t="n"/>
      <c r="C188" s="41" t="n"/>
      <c r="F188" s="41" t="n"/>
      <c r="H188" s="41" t="n"/>
    </row>
    <row r="189" ht="25.8" customHeight="1">
      <c r="B189" s="41" t="n"/>
      <c r="C189" s="41" t="n"/>
      <c r="F189" s="41" t="n"/>
      <c r="H189" s="41" t="n"/>
    </row>
    <row r="190" ht="25.8" customHeight="1">
      <c r="B190" s="41" t="n"/>
      <c r="C190" s="41" t="n"/>
      <c r="F190" s="41" t="n"/>
      <c r="H190" s="41" t="n"/>
    </row>
    <row r="191" ht="25.8" customHeight="1">
      <c r="B191" s="41" t="n"/>
      <c r="C191" s="41" t="n"/>
      <c r="F191" s="41" t="n"/>
      <c r="H191" s="41" t="n"/>
    </row>
    <row r="192" ht="25.8" customHeight="1">
      <c r="B192" s="41" t="n"/>
      <c r="C192" s="41" t="n"/>
      <c r="F192" s="41" t="n"/>
      <c r="H192" s="41" t="n"/>
    </row>
    <row r="193" ht="25.8" customHeight="1">
      <c r="B193" s="41" t="n"/>
      <c r="C193" s="41" t="n"/>
      <c r="F193" s="41" t="n"/>
      <c r="H193" s="41" t="n"/>
    </row>
    <row r="194" ht="25.8" customHeight="1">
      <c r="B194" s="41" t="n"/>
      <c r="C194" s="41" t="n"/>
      <c r="F194" s="41" t="n"/>
      <c r="H194" s="41" t="n"/>
    </row>
    <row r="195" ht="25.8" customHeight="1">
      <c r="B195" s="41" t="n"/>
      <c r="C195" s="41" t="n"/>
      <c r="F195" s="41" t="n"/>
      <c r="H195" s="41" t="n"/>
    </row>
    <row r="196" ht="25.8" customHeight="1">
      <c r="B196" s="41" t="n"/>
      <c r="C196" s="41" t="n"/>
      <c r="F196" s="41" t="n"/>
      <c r="H196" s="41" t="n"/>
    </row>
    <row r="197" ht="25.8" customHeight="1">
      <c r="B197" s="41" t="n"/>
      <c r="C197" s="41" t="n"/>
      <c r="F197" s="41" t="n"/>
      <c r="H197" s="41" t="n"/>
    </row>
    <row r="198" ht="25.8" customHeight="1">
      <c r="B198" s="41" t="n"/>
      <c r="C198" s="41" t="n"/>
      <c r="F198" s="41" t="n"/>
      <c r="H198" s="41" t="n"/>
    </row>
    <row r="199" ht="25.8" customHeight="1">
      <c r="B199" s="41" t="n"/>
      <c r="C199" s="41" t="n"/>
      <c r="F199" s="41" t="n"/>
      <c r="H199" s="41" t="n"/>
    </row>
    <row r="200" ht="25.8" customHeight="1">
      <c r="B200" s="41" t="n"/>
      <c r="C200" s="41" t="n"/>
      <c r="F200" s="41" t="n"/>
      <c r="H200" s="41" t="n"/>
    </row>
    <row r="201" ht="25.8" customHeight="1">
      <c r="B201" s="41" t="n"/>
      <c r="C201" s="41" t="n"/>
      <c r="F201" s="41" t="n"/>
      <c r="H201" s="41" t="n"/>
    </row>
    <row r="202" ht="25.8" customHeight="1">
      <c r="B202" s="41" t="n"/>
      <c r="C202" s="41" t="n"/>
      <c r="F202" s="41" t="n"/>
      <c r="H202" s="41" t="n"/>
    </row>
    <row r="203" ht="25.8" customHeight="1">
      <c r="B203" s="41" t="n"/>
      <c r="C203" s="41" t="n"/>
      <c r="F203" s="41" t="n"/>
      <c r="H203" s="41" t="n"/>
    </row>
    <row r="204" ht="25.8" customHeight="1">
      <c r="B204" s="41" t="n"/>
      <c r="C204" s="41" t="n"/>
      <c r="F204" s="41" t="n"/>
      <c r="H204" s="41" t="n"/>
    </row>
    <row r="205" ht="25.8" customHeight="1">
      <c r="B205" s="41" t="n"/>
      <c r="C205" s="41" t="n"/>
      <c r="F205" s="41" t="n"/>
      <c r="H205" s="41" t="n"/>
    </row>
    <row r="206" ht="25.8" customHeight="1">
      <c r="B206" s="41" t="n"/>
      <c r="C206" s="41" t="n"/>
      <c r="F206" s="41" t="n"/>
      <c r="H206" s="41" t="n"/>
    </row>
    <row r="207" ht="25.8" customHeight="1">
      <c r="B207" s="41" t="n"/>
      <c r="C207" s="41" t="n"/>
      <c r="F207" s="41" t="n"/>
      <c r="H207" s="41" t="n"/>
    </row>
    <row r="208" ht="25.8" customHeight="1">
      <c r="B208" s="41" t="n"/>
      <c r="C208" s="41" t="n"/>
      <c r="F208" s="41" t="n"/>
      <c r="H208" s="41" t="n"/>
    </row>
    <row r="209" ht="25.8" customHeight="1">
      <c r="B209" s="41" t="n"/>
      <c r="C209" s="41" t="n"/>
      <c r="F209" s="41" t="n"/>
      <c r="H209" s="41" t="n"/>
    </row>
    <row r="210" ht="25.8" customHeight="1">
      <c r="B210" s="41" t="n"/>
      <c r="C210" s="41" t="n"/>
      <c r="F210" s="41" t="n"/>
      <c r="H210" s="41" t="n"/>
    </row>
    <row r="211" ht="25.8" customHeight="1">
      <c r="B211" s="41" t="n"/>
      <c r="C211" s="41" t="n"/>
      <c r="F211" s="41" t="n"/>
      <c r="H211" s="41" t="n"/>
    </row>
    <row r="212" ht="25.8" customHeight="1">
      <c r="B212" s="41" t="n"/>
      <c r="C212" s="41" t="n"/>
      <c r="F212" s="41" t="n"/>
      <c r="H212" s="41" t="n"/>
    </row>
    <row r="213" ht="25.8" customHeight="1">
      <c r="B213" s="41" t="n"/>
      <c r="C213" s="41" t="n"/>
      <c r="F213" s="41" t="n"/>
      <c r="H213" s="41" t="n"/>
    </row>
    <row r="214" ht="25.8" customHeight="1">
      <c r="B214" s="41" t="n"/>
      <c r="C214" s="41" t="n"/>
      <c r="F214" s="41" t="n"/>
      <c r="H214" s="41" t="n"/>
    </row>
    <row r="215" ht="25.8" customHeight="1">
      <c r="B215" s="41" t="n"/>
      <c r="C215" s="41" t="n"/>
      <c r="F215" s="41" t="n"/>
      <c r="H215" s="41" t="n"/>
    </row>
    <row r="216" ht="25.8" customHeight="1">
      <c r="B216" s="41" t="n"/>
      <c r="C216" s="41" t="n"/>
      <c r="F216" s="41" t="n"/>
      <c r="H216" s="41" t="n"/>
    </row>
    <row r="217" ht="25.8" customHeight="1">
      <c r="B217" s="41" t="n"/>
      <c r="C217" s="41" t="n"/>
      <c r="F217" s="41" t="n"/>
      <c r="H217" s="41" t="n"/>
    </row>
    <row r="218" ht="25.8" customHeight="1">
      <c r="B218" s="41" t="n"/>
      <c r="C218" s="41" t="n"/>
      <c r="F218" s="41" t="n"/>
      <c r="H218" s="41" t="n"/>
    </row>
    <row r="219" ht="25.8" customHeight="1">
      <c r="B219" s="41" t="n"/>
      <c r="C219" s="41" t="n"/>
      <c r="F219" s="41" t="n"/>
      <c r="H219" s="41" t="n"/>
    </row>
    <row r="220" ht="25.8" customHeight="1">
      <c r="B220" s="41" t="n"/>
      <c r="C220" s="41" t="n"/>
      <c r="F220" s="41" t="n"/>
      <c r="H220" s="41" t="n"/>
    </row>
    <row r="221" ht="25.8" customHeight="1">
      <c r="B221" s="41" t="n"/>
      <c r="C221" s="41" t="n"/>
      <c r="F221" s="41" t="n"/>
      <c r="H221" s="41" t="n"/>
    </row>
    <row r="222" ht="25.8" customHeight="1">
      <c r="B222" s="41" t="n"/>
      <c r="C222" s="41" t="n"/>
      <c r="F222" s="41" t="n"/>
      <c r="H222" s="41" t="n"/>
    </row>
    <row r="223" ht="25.8" customHeight="1">
      <c r="B223" s="41" t="n"/>
      <c r="C223" s="41" t="n"/>
      <c r="F223" s="41" t="n"/>
      <c r="H223" s="41" t="n"/>
    </row>
    <row r="224" ht="25.8" customHeight="1">
      <c r="B224" s="41" t="n"/>
      <c r="C224" s="41" t="n"/>
      <c r="F224" s="41" t="n"/>
      <c r="H224" s="41" t="n"/>
    </row>
    <row r="225" ht="25.8" customHeight="1">
      <c r="B225" s="41" t="n"/>
      <c r="C225" s="41" t="n"/>
      <c r="F225" s="41" t="n"/>
      <c r="H225" s="41" t="n"/>
    </row>
    <row r="226" ht="25.8" customHeight="1">
      <c r="B226" s="41" t="n"/>
      <c r="C226" s="41" t="n"/>
      <c r="F226" s="41" t="n"/>
      <c r="H226" s="41" t="n"/>
    </row>
    <row r="227" ht="25.8" customHeight="1">
      <c r="B227" s="41" t="n"/>
      <c r="C227" s="41" t="n"/>
      <c r="F227" s="41" t="n"/>
      <c r="H227" s="41" t="n"/>
    </row>
    <row r="228" ht="25.8" customHeight="1">
      <c r="B228" s="41" t="n"/>
      <c r="C228" s="41" t="n"/>
      <c r="F228" s="41" t="n"/>
      <c r="H228" s="41" t="n"/>
    </row>
    <row r="229" ht="25.8" customHeight="1">
      <c r="B229" s="41" t="n"/>
      <c r="C229" s="41" t="n"/>
      <c r="F229" s="41" t="n"/>
      <c r="H229" s="41" t="n"/>
    </row>
    <row r="230" ht="25.8" customHeight="1">
      <c r="B230" s="41" t="n"/>
      <c r="C230" s="41" t="n"/>
      <c r="F230" s="41" t="n"/>
      <c r="H230" s="41" t="n"/>
    </row>
    <row r="231" ht="25.8" customHeight="1">
      <c r="B231" s="41" t="n"/>
      <c r="C231" s="41" t="n"/>
      <c r="F231" s="41" t="n"/>
      <c r="H231" s="41" t="n"/>
    </row>
    <row r="232" ht="25.8" customHeight="1">
      <c r="B232" s="41" t="n"/>
      <c r="C232" s="41" t="n"/>
      <c r="F232" s="41" t="n"/>
      <c r="H232" s="41" t="n"/>
    </row>
    <row r="233" ht="25.8" customHeight="1">
      <c r="B233" s="41" t="n"/>
      <c r="C233" s="41" t="n"/>
      <c r="F233" s="41" t="n"/>
      <c r="H233" s="41" t="n"/>
    </row>
    <row r="234" ht="25.8" customHeight="1">
      <c r="B234" s="41" t="n"/>
      <c r="C234" s="41" t="n"/>
      <c r="F234" s="41" t="n"/>
      <c r="H234" s="41" t="n"/>
    </row>
    <row r="235" ht="25.8" customHeight="1">
      <c r="B235" s="41" t="n"/>
      <c r="C235" s="41" t="n"/>
      <c r="F235" s="41" t="n"/>
      <c r="H235" s="41" t="n"/>
    </row>
    <row r="236" ht="25.8" customHeight="1">
      <c r="B236" s="41" t="n"/>
      <c r="C236" s="41" t="n"/>
      <c r="F236" s="41" t="n"/>
      <c r="H236" s="41" t="n"/>
    </row>
    <row r="237" ht="25.8" customHeight="1">
      <c r="B237" s="41" t="n"/>
      <c r="C237" s="41" t="n"/>
      <c r="F237" s="41" t="n"/>
      <c r="H237" s="41" t="n"/>
    </row>
    <row r="238" ht="25.8" customHeight="1">
      <c r="B238" s="41" t="n"/>
      <c r="C238" s="41" t="n"/>
      <c r="F238" s="41" t="n"/>
      <c r="H238" s="41" t="n"/>
    </row>
    <row r="239" ht="25.8" customHeight="1">
      <c r="B239" s="41" t="n"/>
      <c r="C239" s="41" t="n"/>
      <c r="F239" s="41" t="n"/>
      <c r="H239" s="41" t="n"/>
    </row>
    <row r="240" ht="25.8" customHeight="1">
      <c r="B240" s="41" t="n"/>
      <c r="C240" s="41" t="n"/>
      <c r="F240" s="41" t="n"/>
      <c r="H240" s="41" t="n"/>
    </row>
    <row r="241" ht="25.8" customHeight="1">
      <c r="B241" s="41" t="n"/>
      <c r="C241" s="41" t="n"/>
      <c r="F241" s="41" t="n"/>
      <c r="H241" s="41" t="n"/>
    </row>
    <row r="242" ht="25.8" customHeight="1">
      <c r="B242" s="41" t="n"/>
      <c r="C242" s="41" t="n"/>
      <c r="F242" s="41" t="n"/>
      <c r="H242" s="41" t="n"/>
    </row>
    <row r="243" ht="25.8" customHeight="1">
      <c r="B243" s="41" t="n"/>
      <c r="C243" s="41" t="n"/>
      <c r="F243" s="41" t="n"/>
      <c r="H243" s="41" t="n"/>
    </row>
    <row r="244" ht="25.8" customHeight="1">
      <c r="B244" s="41" t="n"/>
      <c r="C244" s="41" t="n"/>
      <c r="F244" s="41" t="n"/>
      <c r="H244" s="41" t="n"/>
    </row>
    <row r="245" ht="25.8" customHeight="1">
      <c r="B245" s="41" t="n"/>
      <c r="C245" s="41" t="n"/>
      <c r="F245" s="41" t="n"/>
      <c r="H245" s="41" t="n"/>
    </row>
    <row r="246" ht="25.8" customHeight="1">
      <c r="B246" s="41" t="n"/>
      <c r="C246" s="41" t="n"/>
      <c r="F246" s="41" t="n"/>
      <c r="H246" s="41" t="n"/>
    </row>
    <row r="247" ht="25.8" customHeight="1">
      <c r="B247" s="41" t="n"/>
      <c r="C247" s="41" t="n"/>
      <c r="F247" s="41" t="n"/>
      <c r="H247" s="41" t="n"/>
    </row>
    <row r="248" ht="25.8" customHeight="1">
      <c r="B248" s="41" t="n"/>
      <c r="C248" s="41" t="n"/>
      <c r="F248" s="41" t="n"/>
      <c r="H248" s="41" t="n"/>
    </row>
    <row r="249" ht="25.8" customHeight="1">
      <c r="B249" s="41" t="n"/>
      <c r="C249" s="41" t="n"/>
      <c r="F249" s="41" t="n"/>
      <c r="H249" s="41" t="n"/>
    </row>
    <row r="250" ht="25.8" customHeight="1">
      <c r="B250" s="41" t="n"/>
      <c r="C250" s="41" t="n"/>
      <c r="F250" s="41" t="n"/>
      <c r="H250" s="41" t="n"/>
    </row>
    <row r="251" ht="25.8" customHeight="1">
      <c r="B251" s="41" t="n"/>
      <c r="C251" s="41" t="n"/>
      <c r="F251" s="41" t="n"/>
      <c r="H251" s="41" t="n"/>
    </row>
    <row r="252" ht="25.8" customHeight="1">
      <c r="B252" s="41" t="n"/>
      <c r="C252" s="41" t="n"/>
      <c r="F252" s="41" t="n"/>
      <c r="H252" s="41" t="n"/>
    </row>
    <row r="253" ht="25.8" customHeight="1">
      <c r="B253" s="41" t="n"/>
      <c r="C253" s="41" t="n"/>
      <c r="F253" s="41" t="n"/>
      <c r="H253" s="41" t="n"/>
    </row>
    <row r="254" ht="25.8" customHeight="1">
      <c r="B254" s="41" t="n"/>
      <c r="C254" s="41" t="n"/>
      <c r="F254" s="41" t="n"/>
      <c r="H254" s="41" t="n"/>
    </row>
    <row r="255" ht="25.8" customHeight="1">
      <c r="B255" s="41" t="n"/>
      <c r="C255" s="41" t="n"/>
      <c r="F255" s="41" t="n"/>
      <c r="H255" s="41" t="n"/>
    </row>
    <row r="256" ht="25.8" customHeight="1">
      <c r="B256" s="41" t="n"/>
      <c r="C256" s="41" t="n"/>
      <c r="F256" s="41" t="n"/>
      <c r="H256" s="41" t="n"/>
    </row>
    <row r="257" ht="25.8" customHeight="1">
      <c r="B257" s="41" t="n"/>
      <c r="C257" s="41" t="n"/>
      <c r="F257" s="41" t="n"/>
      <c r="H257" s="41" t="n"/>
    </row>
    <row r="258" ht="25.8" customHeight="1">
      <c r="B258" s="41" t="n"/>
      <c r="C258" s="41" t="n"/>
      <c r="F258" s="41" t="n"/>
      <c r="H258" s="41" t="n"/>
    </row>
    <row r="259" ht="25.8" customHeight="1">
      <c r="B259" s="41" t="n"/>
      <c r="C259" s="41" t="n"/>
      <c r="F259" s="41" t="n"/>
      <c r="H259" s="41" t="n"/>
    </row>
    <row r="260" ht="25.8" customHeight="1">
      <c r="B260" s="41" t="n"/>
      <c r="C260" s="41" t="n"/>
      <c r="F260" s="41" t="n"/>
      <c r="H260" s="41" t="n"/>
    </row>
    <row r="261" ht="25.8" customHeight="1">
      <c r="B261" s="41" t="n"/>
      <c r="C261" s="41" t="n"/>
      <c r="F261" s="41" t="n"/>
      <c r="H261" s="41" t="n"/>
    </row>
    <row r="262" ht="25.8" customHeight="1">
      <c r="B262" s="41" t="n"/>
      <c r="C262" s="41" t="n"/>
      <c r="F262" s="41" t="n"/>
      <c r="H262" s="41" t="n"/>
    </row>
    <row r="263" ht="25.8" customHeight="1">
      <c r="B263" s="41" t="n"/>
      <c r="C263" s="41" t="n"/>
      <c r="F263" s="41" t="n"/>
      <c r="H263" s="41" t="n"/>
    </row>
    <row r="264" ht="25.8" customHeight="1">
      <c r="B264" s="41" t="n"/>
      <c r="C264" s="41" t="n"/>
      <c r="F264" s="41" t="n"/>
      <c r="H264" s="41" t="n"/>
    </row>
    <row r="265" ht="25.8" customHeight="1">
      <c r="B265" s="41" t="n"/>
      <c r="C265" s="41" t="n"/>
      <c r="F265" s="41" t="n"/>
      <c r="H265" s="41" t="n"/>
    </row>
    <row r="266" ht="25.8" customHeight="1">
      <c r="B266" s="41" t="n"/>
      <c r="C266" s="41" t="n"/>
      <c r="F266" s="41" t="n"/>
      <c r="H266" s="41" t="n"/>
    </row>
    <row r="267" ht="25.8" customHeight="1">
      <c r="B267" s="41" t="n"/>
      <c r="C267" s="41" t="n"/>
      <c r="F267" s="41" t="n"/>
      <c r="H267" s="41" t="n"/>
    </row>
    <row r="268" ht="25.8" customHeight="1">
      <c r="B268" s="41" t="n"/>
      <c r="C268" s="41" t="n"/>
      <c r="F268" s="41" t="n"/>
      <c r="H268" s="41" t="n"/>
    </row>
    <row r="269" ht="25.8" customHeight="1">
      <c r="B269" s="41" t="n"/>
      <c r="C269" s="41" t="n"/>
      <c r="F269" s="41" t="n"/>
      <c r="H269" s="41" t="n"/>
    </row>
    <row r="270" ht="25.8" customHeight="1">
      <c r="B270" s="41" t="n"/>
      <c r="C270" s="41" t="n"/>
      <c r="F270" s="41" t="n"/>
      <c r="H270" s="41" t="n"/>
    </row>
    <row r="271" ht="25.8" customHeight="1">
      <c r="B271" s="41" t="n"/>
      <c r="C271" s="41" t="n"/>
      <c r="F271" s="41" t="n"/>
      <c r="H271" s="41" t="n"/>
    </row>
    <row r="272" ht="25.8" customHeight="1">
      <c r="B272" s="41" t="n"/>
      <c r="C272" s="41" t="n"/>
      <c r="F272" s="41" t="n"/>
      <c r="H272" s="41" t="n"/>
    </row>
    <row r="273" ht="25.8" customHeight="1">
      <c r="B273" s="41" t="n"/>
      <c r="C273" s="41" t="n"/>
      <c r="F273" s="41" t="n"/>
      <c r="H273" s="41" t="n"/>
    </row>
    <row r="274" ht="25.8" customHeight="1">
      <c r="B274" s="41" t="n"/>
      <c r="C274" s="41" t="n"/>
      <c r="F274" s="41" t="n"/>
      <c r="H274" s="41" t="n"/>
    </row>
    <row r="275" ht="25.8" customHeight="1">
      <c r="B275" s="41" t="n"/>
      <c r="C275" s="41" t="n"/>
      <c r="F275" s="41" t="n"/>
      <c r="H275" s="41" t="n"/>
    </row>
    <row r="276" ht="25.8" customHeight="1">
      <c r="B276" s="41" t="n"/>
      <c r="C276" s="41" t="n"/>
      <c r="F276" s="41" t="n"/>
      <c r="H276" s="41" t="n"/>
    </row>
    <row r="277" ht="25.8" customHeight="1">
      <c r="B277" s="41" t="n"/>
      <c r="C277" s="41" t="n"/>
      <c r="F277" s="41" t="n"/>
      <c r="H277" s="41" t="n"/>
    </row>
    <row r="278" ht="25.8" customHeight="1">
      <c r="B278" s="41" t="n"/>
      <c r="C278" s="41" t="n"/>
      <c r="F278" s="41" t="n"/>
      <c r="H278" s="41" t="n"/>
    </row>
    <row r="279" ht="25.8" customHeight="1">
      <c r="B279" s="41" t="n"/>
      <c r="C279" s="41" t="n"/>
      <c r="F279" s="41" t="n"/>
      <c r="H279" s="41" t="n"/>
    </row>
    <row r="280" ht="25.8" customHeight="1">
      <c r="B280" s="41" t="n"/>
      <c r="C280" s="41" t="n"/>
      <c r="F280" s="41" t="n"/>
      <c r="H280" s="41" t="n"/>
    </row>
    <row r="281" ht="25.8" customHeight="1">
      <c r="B281" s="41" t="n"/>
      <c r="C281" s="41" t="n"/>
      <c r="F281" s="41" t="n"/>
      <c r="H281" s="41" t="n"/>
    </row>
    <row r="282" ht="25.8" customHeight="1">
      <c r="B282" s="41" t="n"/>
      <c r="C282" s="41" t="n"/>
      <c r="F282" s="41" t="n"/>
      <c r="H282" s="41" t="n"/>
    </row>
    <row r="283" ht="25.8" customHeight="1">
      <c r="B283" s="41" t="n"/>
      <c r="C283" s="41" t="n"/>
      <c r="F283" s="41" t="n"/>
      <c r="H283" s="41" t="n"/>
    </row>
    <row r="284" ht="25.8" customHeight="1">
      <c r="B284" s="41" t="n"/>
      <c r="C284" s="41" t="n"/>
      <c r="F284" s="41" t="n"/>
      <c r="H284" s="41" t="n"/>
    </row>
    <row r="285" ht="25.8" customHeight="1">
      <c r="B285" s="41" t="n"/>
      <c r="C285" s="41" t="n"/>
      <c r="F285" s="41" t="n"/>
      <c r="H285" s="41" t="n"/>
    </row>
    <row r="286" ht="25.8" customHeight="1">
      <c r="B286" s="41" t="n"/>
      <c r="C286" s="41" t="n"/>
      <c r="F286" s="41" t="n"/>
      <c r="H286" s="41" t="n"/>
    </row>
    <row r="287" ht="25.8" customHeight="1">
      <c r="B287" s="41" t="n"/>
      <c r="C287" s="41" t="n"/>
      <c r="F287" s="41" t="n"/>
      <c r="H287" s="41" t="n"/>
    </row>
    <row r="288" ht="25.8" customHeight="1">
      <c r="B288" s="41" t="n"/>
      <c r="C288" s="41" t="n"/>
      <c r="F288" s="41" t="n"/>
      <c r="H288" s="41" t="n"/>
    </row>
    <row r="289" ht="25.8" customHeight="1">
      <c r="B289" s="41" t="n"/>
      <c r="C289" s="41" t="n"/>
      <c r="F289" s="41" t="n"/>
      <c r="H289" s="41" t="n"/>
    </row>
    <row r="290" ht="25.8" customHeight="1">
      <c r="B290" s="41" t="n"/>
      <c r="C290" s="41" t="n"/>
      <c r="F290" s="41" t="n"/>
      <c r="H290" s="41" t="n"/>
    </row>
    <row r="291" ht="25.8" customHeight="1">
      <c r="B291" s="41" t="n"/>
      <c r="C291" s="41" t="n"/>
      <c r="F291" s="41" t="n"/>
      <c r="H291" s="41" t="n"/>
    </row>
    <row r="292" ht="25.8" customHeight="1">
      <c r="B292" s="41" t="n"/>
      <c r="C292" s="41" t="n"/>
      <c r="F292" s="41" t="n"/>
      <c r="H292" s="41" t="n"/>
    </row>
    <row r="293" ht="25.8" customHeight="1">
      <c r="B293" s="41" t="n"/>
      <c r="C293" s="41" t="n"/>
      <c r="F293" s="41" t="n"/>
      <c r="H293" s="41" t="n"/>
    </row>
    <row r="294" ht="25.8" customHeight="1">
      <c r="B294" s="41" t="n"/>
      <c r="C294" s="41" t="n"/>
      <c r="F294" s="41" t="n"/>
      <c r="H294" s="41" t="n"/>
    </row>
    <row r="295" ht="25.8" customHeight="1">
      <c r="B295" s="41" t="n"/>
      <c r="C295" s="41" t="n"/>
      <c r="F295" s="41" t="n"/>
      <c r="H295" s="41" t="n"/>
    </row>
    <row r="296" ht="25.8" customHeight="1">
      <c r="B296" s="41" t="n"/>
      <c r="C296" s="41" t="n"/>
      <c r="F296" s="41" t="n"/>
      <c r="H296" s="41" t="n"/>
    </row>
    <row r="297" ht="25.8" customHeight="1">
      <c r="B297" s="41" t="n"/>
      <c r="C297" s="41" t="n"/>
      <c r="F297" s="41" t="n"/>
      <c r="H297" s="41" t="n"/>
    </row>
    <row r="298" ht="25.8" customHeight="1">
      <c r="B298" s="41" t="n"/>
      <c r="C298" s="41" t="n"/>
      <c r="F298" s="41" t="n"/>
      <c r="H298" s="41" t="n"/>
    </row>
    <row r="299" ht="25.8" customHeight="1">
      <c r="B299" s="41" t="n"/>
      <c r="C299" s="41" t="n"/>
      <c r="F299" s="41" t="n"/>
      <c r="H299" s="41" t="n"/>
    </row>
    <row r="300" ht="25.8" customHeight="1">
      <c r="B300" s="41" t="n"/>
      <c r="C300" s="41" t="n"/>
      <c r="F300" s="41" t="n"/>
      <c r="H300" s="41" t="n"/>
    </row>
    <row r="301" ht="25.8" customHeight="1">
      <c r="B301" s="41" t="n"/>
      <c r="C301" s="41" t="n"/>
      <c r="F301" s="41" t="n"/>
      <c r="H301" s="41" t="n"/>
    </row>
    <row r="302" ht="25.8" customHeight="1">
      <c r="B302" s="41" t="n"/>
      <c r="C302" s="41" t="n"/>
      <c r="F302" s="41" t="n"/>
      <c r="H302" s="41" t="n"/>
    </row>
    <row r="303" ht="25.8" customHeight="1">
      <c r="B303" s="41" t="n"/>
      <c r="C303" s="41" t="n"/>
      <c r="F303" s="41" t="n"/>
      <c r="H303" s="41" t="n"/>
    </row>
    <row r="304" ht="25.8" customHeight="1">
      <c r="B304" s="41" t="n"/>
      <c r="C304" s="41" t="n"/>
      <c r="F304" s="41" t="n"/>
      <c r="H304" s="41" t="n"/>
    </row>
    <row r="305" ht="25.8" customHeight="1">
      <c r="B305" s="41" t="n"/>
      <c r="C305" s="41" t="n"/>
      <c r="F305" s="41" t="n"/>
      <c r="H305" s="41" t="n"/>
    </row>
    <row r="306" ht="25.8" customHeight="1">
      <c r="B306" s="41" t="n"/>
      <c r="C306" s="41" t="n"/>
      <c r="F306" s="41" t="n"/>
      <c r="H306" s="41" t="n"/>
    </row>
    <row r="307" ht="25.8" customHeight="1">
      <c r="B307" s="41" t="n"/>
      <c r="C307" s="41" t="n"/>
      <c r="F307" s="41" t="n"/>
      <c r="H307" s="41" t="n"/>
    </row>
    <row r="308" ht="25.8" customHeight="1">
      <c r="B308" s="41" t="n"/>
      <c r="C308" s="41" t="n"/>
      <c r="F308" s="41" t="n"/>
      <c r="H308" s="41" t="n"/>
    </row>
    <row r="309" ht="25.8" customHeight="1">
      <c r="B309" s="41" t="n"/>
      <c r="C309" s="41" t="n"/>
      <c r="F309" s="41" t="n"/>
      <c r="H309" s="41" t="n"/>
    </row>
    <row r="310" ht="25.8" customHeight="1">
      <c r="B310" s="41" t="n"/>
      <c r="C310" s="41" t="n"/>
      <c r="F310" s="41" t="n"/>
      <c r="H310" s="41" t="n"/>
    </row>
    <row r="311" ht="25.8" customHeight="1">
      <c r="B311" s="41" t="n"/>
      <c r="C311" s="41" t="n"/>
      <c r="F311" s="41" t="n"/>
      <c r="H311" s="41" t="n"/>
    </row>
    <row r="312" ht="25.8" customHeight="1">
      <c r="B312" s="41" t="n"/>
      <c r="C312" s="41" t="n"/>
      <c r="F312" s="41" t="n"/>
      <c r="H312" s="41" t="n"/>
    </row>
    <row r="313" ht="25.8" customHeight="1">
      <c r="B313" s="41" t="n"/>
      <c r="C313" s="41" t="n"/>
      <c r="F313" s="41" t="n"/>
      <c r="H313" s="41" t="n"/>
    </row>
    <row r="314" ht="25.8" customHeight="1">
      <c r="B314" s="41" t="n"/>
      <c r="C314" s="41" t="n"/>
      <c r="F314" s="41" t="n"/>
      <c r="H314" s="41" t="n"/>
    </row>
    <row r="315" ht="25.8" customHeight="1">
      <c r="B315" s="41" t="n"/>
      <c r="C315" s="41" t="n"/>
      <c r="F315" s="41" t="n"/>
      <c r="H315" s="41" t="n"/>
    </row>
    <row r="316" ht="25.8" customHeight="1">
      <c r="B316" s="41" t="n"/>
      <c r="C316" s="41" t="n"/>
      <c r="F316" s="41" t="n"/>
      <c r="H316" s="41" t="n"/>
    </row>
    <row r="317" ht="25.8" customHeight="1">
      <c r="B317" s="41" t="n"/>
      <c r="C317" s="41" t="n"/>
      <c r="F317" s="41" t="n"/>
      <c r="H317" s="41" t="n"/>
    </row>
    <row r="318" ht="25.8" customHeight="1">
      <c r="B318" s="41" t="n"/>
      <c r="C318" s="41" t="n"/>
      <c r="F318" s="41" t="n"/>
      <c r="H318" s="41" t="n"/>
    </row>
    <row r="319" ht="25.8" customHeight="1">
      <c r="B319" s="41" t="n"/>
      <c r="C319" s="41" t="n"/>
      <c r="F319" s="41" t="n"/>
      <c r="H319" s="41" t="n"/>
    </row>
    <row r="320" ht="25.8" customHeight="1">
      <c r="B320" s="41" t="n"/>
      <c r="C320" s="41" t="n"/>
      <c r="F320" s="41" t="n"/>
      <c r="H320" s="41" t="n"/>
    </row>
    <row r="321" ht="25.8" customHeight="1">
      <c r="B321" s="41" t="n"/>
      <c r="C321" s="41" t="n"/>
      <c r="F321" s="41" t="n"/>
      <c r="H321" s="41" t="n"/>
    </row>
    <row r="322" ht="25.8" customHeight="1">
      <c r="B322" s="41" t="n"/>
      <c r="C322" s="41" t="n"/>
      <c r="F322" s="41" t="n"/>
      <c r="H322" s="41" t="n"/>
    </row>
    <row r="323" ht="25.8" customHeight="1">
      <c r="B323" s="41" t="n"/>
      <c r="C323" s="41" t="n"/>
      <c r="F323" s="41" t="n"/>
      <c r="H323" s="41" t="n"/>
    </row>
    <row r="324" ht="25.8" customHeight="1">
      <c r="B324" s="41" t="n"/>
      <c r="C324" s="41" t="n"/>
      <c r="F324" s="41" t="n"/>
      <c r="H324" s="41" t="n"/>
    </row>
    <row r="325" ht="25.8" customHeight="1">
      <c r="B325" s="41" t="n"/>
      <c r="C325" s="41" t="n"/>
      <c r="F325" s="41" t="n"/>
      <c r="H325" s="41" t="n"/>
    </row>
    <row r="326" ht="25.8" customHeight="1">
      <c r="B326" s="41" t="n"/>
      <c r="C326" s="41" t="n"/>
      <c r="F326" s="41" t="n"/>
      <c r="H326" s="41" t="n"/>
    </row>
    <row r="327" ht="25.8" customHeight="1">
      <c r="B327" s="41" t="n"/>
      <c r="C327" s="41" t="n"/>
      <c r="F327" s="41" t="n"/>
      <c r="H327" s="41" t="n"/>
    </row>
    <row r="328" ht="25.8" customHeight="1">
      <c r="B328" s="41" t="n"/>
      <c r="C328" s="41" t="n"/>
      <c r="F328" s="41" t="n"/>
      <c r="H328" s="41" t="n"/>
    </row>
    <row r="329" ht="25.8" customHeight="1">
      <c r="B329" s="41" t="n"/>
      <c r="C329" s="41" t="n"/>
      <c r="F329" s="41" t="n"/>
      <c r="H329" s="41" t="n"/>
    </row>
    <row r="330" ht="25.8" customHeight="1">
      <c r="B330" s="41" t="n"/>
      <c r="C330" s="41" t="n"/>
      <c r="F330" s="41" t="n"/>
      <c r="H330" s="41" t="n"/>
    </row>
    <row r="331" ht="25.8" customHeight="1">
      <c r="B331" s="41" t="n"/>
      <c r="C331" s="41" t="n"/>
      <c r="F331" s="41" t="n"/>
      <c r="H331" s="41" t="n"/>
    </row>
    <row r="332" ht="25.8" customHeight="1">
      <c r="B332" s="41" t="n"/>
      <c r="C332" s="41" t="n"/>
      <c r="F332" s="41" t="n"/>
      <c r="H332" s="41" t="n"/>
    </row>
    <row r="333" ht="25.8" customHeight="1">
      <c r="B333" s="41" t="n"/>
      <c r="C333" s="41" t="n"/>
      <c r="F333" s="41" t="n"/>
      <c r="H333" s="41" t="n"/>
    </row>
    <row r="334" ht="25.8" customHeight="1">
      <c r="B334" s="41" t="n"/>
      <c r="C334" s="41" t="n"/>
      <c r="F334" s="41" t="n"/>
      <c r="H334" s="41" t="n"/>
    </row>
    <row r="335" ht="25.8" customHeight="1">
      <c r="B335" s="41" t="n"/>
      <c r="C335" s="41" t="n"/>
      <c r="F335" s="41" t="n"/>
      <c r="H335" s="41" t="n"/>
    </row>
    <row r="336" ht="25.8" customHeight="1">
      <c r="B336" s="41" t="n"/>
      <c r="C336" s="41" t="n"/>
      <c r="F336" s="41" t="n"/>
      <c r="H336" s="41" t="n"/>
    </row>
    <row r="337" ht="25.8" customHeight="1">
      <c r="B337" s="41" t="n"/>
      <c r="C337" s="41" t="n"/>
      <c r="F337" s="41" t="n"/>
      <c r="H337" s="41" t="n"/>
    </row>
    <row r="338" ht="25.8" customHeight="1">
      <c r="B338" s="41" t="n"/>
      <c r="C338" s="41" t="n"/>
      <c r="F338" s="41" t="n"/>
      <c r="H338" s="41" t="n"/>
    </row>
    <row r="339" ht="25.8" customHeight="1">
      <c r="B339" s="41" t="n"/>
      <c r="C339" s="41" t="n"/>
      <c r="F339" s="41" t="n"/>
      <c r="H339" s="41" t="n"/>
    </row>
    <row r="340" ht="25.8" customHeight="1">
      <c r="B340" s="41" t="n"/>
      <c r="C340" s="41" t="n"/>
      <c r="F340" s="41" t="n"/>
      <c r="H340" s="41" t="n"/>
    </row>
    <row r="341" ht="25.8" customHeight="1">
      <c r="B341" s="41" t="n"/>
      <c r="C341" s="41" t="n"/>
      <c r="F341" s="41" t="n"/>
      <c r="H341" s="41" t="n"/>
    </row>
    <row r="342" ht="25.8" customHeight="1">
      <c r="B342" s="41" t="n"/>
      <c r="C342" s="41" t="n"/>
      <c r="F342" s="41" t="n"/>
      <c r="H342" s="41" t="n"/>
    </row>
    <row r="343" ht="25.8" customHeight="1">
      <c r="B343" s="41" t="n"/>
      <c r="C343" s="41" t="n"/>
      <c r="F343" s="41" t="n"/>
      <c r="H343" s="41" t="n"/>
    </row>
    <row r="344" ht="25.8" customHeight="1">
      <c r="B344" s="41" t="n"/>
      <c r="C344" s="41" t="n"/>
      <c r="F344" s="41" t="n"/>
      <c r="H344" s="41" t="n"/>
    </row>
    <row r="345" ht="25.8" customHeight="1">
      <c r="B345" s="41" t="n"/>
      <c r="C345" s="41" t="n"/>
      <c r="F345" s="41" t="n"/>
      <c r="H345" s="41" t="n"/>
    </row>
    <row r="346" ht="25.8" customHeight="1">
      <c r="B346" s="41" t="n"/>
      <c r="C346" s="41" t="n"/>
      <c r="F346" s="41" t="n"/>
      <c r="H346" s="41" t="n"/>
    </row>
    <row r="347" ht="25.8" customHeight="1">
      <c r="B347" s="41" t="n"/>
      <c r="C347" s="41" t="n"/>
      <c r="F347" s="41" t="n"/>
      <c r="H347" s="41" t="n"/>
    </row>
    <row r="348" ht="25.8" customHeight="1">
      <c r="B348" s="41" t="n"/>
      <c r="C348" s="41" t="n"/>
      <c r="F348" s="41" t="n"/>
      <c r="H348" s="41" t="n"/>
    </row>
    <row r="349" ht="25.8" customHeight="1">
      <c r="B349" s="41" t="n"/>
      <c r="C349" s="41" t="n"/>
      <c r="F349" s="41" t="n"/>
      <c r="H349" s="41" t="n"/>
    </row>
    <row r="350" ht="25.8" customHeight="1">
      <c r="B350" s="41" t="n"/>
      <c r="C350" s="41" t="n"/>
      <c r="F350" s="41" t="n"/>
      <c r="H350" s="41" t="n"/>
    </row>
    <row r="351" ht="25.8" customHeight="1">
      <c r="B351" s="41" t="n"/>
      <c r="C351" s="41" t="n"/>
      <c r="F351" s="41" t="n"/>
      <c r="H351" s="41" t="n"/>
    </row>
    <row r="352" ht="25.8" customHeight="1">
      <c r="B352" s="41" t="n"/>
      <c r="C352" s="41" t="n"/>
      <c r="F352" s="41" t="n"/>
      <c r="H352" s="41" t="n"/>
    </row>
    <row r="353" ht="25.8" customHeight="1">
      <c r="B353" s="41" t="n"/>
      <c r="C353" s="41" t="n"/>
      <c r="F353" s="41" t="n"/>
      <c r="H353" s="41" t="n"/>
    </row>
    <row r="354" ht="25.8" customHeight="1">
      <c r="B354" s="41" t="n"/>
      <c r="C354" s="41" t="n"/>
      <c r="F354" s="41" t="n"/>
      <c r="H354" s="41" t="n"/>
    </row>
    <row r="355" ht="25.8" customHeight="1">
      <c r="B355" s="41" t="n"/>
      <c r="C355" s="41" t="n"/>
      <c r="F355" s="41" t="n"/>
      <c r="H355" s="41" t="n"/>
    </row>
    <row r="356" ht="25.8" customHeight="1">
      <c r="B356" s="41" t="n"/>
      <c r="C356" s="41" t="n"/>
      <c r="F356" s="41" t="n"/>
      <c r="H356" s="41" t="n"/>
    </row>
    <row r="357" ht="25.8" customHeight="1">
      <c r="B357" s="41" t="n"/>
      <c r="C357" s="41" t="n"/>
      <c r="F357" s="41" t="n"/>
      <c r="H357" s="41" t="n"/>
    </row>
    <row r="358" ht="25.8" customHeight="1">
      <c r="B358" s="41" t="n"/>
      <c r="C358" s="41" t="n"/>
      <c r="F358" s="41" t="n"/>
      <c r="H358" s="41" t="n"/>
    </row>
    <row r="359" ht="25.8" customHeight="1">
      <c r="B359" s="41" t="n"/>
      <c r="C359" s="41" t="n"/>
      <c r="F359" s="41" t="n"/>
      <c r="H359" s="41" t="n"/>
    </row>
    <row r="360" ht="25.8" customHeight="1">
      <c r="B360" s="41" t="n"/>
      <c r="C360" s="41" t="n"/>
      <c r="F360" s="41" t="n"/>
      <c r="H360" s="41" t="n"/>
    </row>
    <row r="361" ht="25.8" customHeight="1">
      <c r="B361" s="41" t="n"/>
      <c r="C361" s="41" t="n"/>
      <c r="F361" s="41" t="n"/>
      <c r="H361" s="41" t="n"/>
    </row>
    <row r="362" ht="25.8" customHeight="1">
      <c r="B362" s="41" t="n"/>
      <c r="C362" s="41" t="n"/>
      <c r="F362" s="41" t="n"/>
      <c r="H362" s="41" t="n"/>
    </row>
    <row r="363" ht="25.8" customHeight="1">
      <c r="B363" s="41" t="n"/>
      <c r="C363" s="41" t="n"/>
      <c r="F363" s="41" t="n"/>
      <c r="H363" s="41" t="n"/>
    </row>
    <row r="364" ht="25.8" customHeight="1">
      <c r="B364" s="41" t="n"/>
      <c r="C364" s="41" t="n"/>
      <c r="F364" s="41" t="n"/>
      <c r="H364" s="41" t="n"/>
    </row>
    <row r="365" ht="25.8" customHeight="1">
      <c r="B365" s="41" t="n"/>
      <c r="C365" s="41" t="n"/>
      <c r="F365" s="41" t="n"/>
      <c r="H365" s="41" t="n"/>
    </row>
    <row r="366" ht="25.8" customHeight="1">
      <c r="B366" s="41" t="n"/>
      <c r="C366" s="41" t="n"/>
      <c r="F366" s="41" t="n"/>
      <c r="H366" s="41" t="n"/>
    </row>
    <row r="367" ht="25.8" customHeight="1">
      <c r="B367" s="41" t="n"/>
      <c r="C367" s="41" t="n"/>
      <c r="F367" s="41" t="n"/>
      <c r="H367" s="41" t="n"/>
    </row>
    <row r="368" ht="25.8" customHeight="1">
      <c r="B368" s="41" t="n"/>
      <c r="C368" s="41" t="n"/>
      <c r="F368" s="41" t="n"/>
      <c r="H368" s="41" t="n"/>
    </row>
    <row r="369" ht="25.8" customHeight="1">
      <c r="B369" s="41" t="n"/>
      <c r="C369" s="41" t="n"/>
      <c r="F369" s="41" t="n"/>
      <c r="H369" s="41" t="n"/>
    </row>
    <row r="370" ht="25.8" customHeight="1">
      <c r="B370" s="41" t="n"/>
      <c r="C370" s="41" t="n"/>
      <c r="F370" s="41" t="n"/>
      <c r="H370" s="41" t="n"/>
    </row>
    <row r="371" ht="25.8" customHeight="1">
      <c r="B371" s="41" t="n"/>
      <c r="C371" s="41" t="n"/>
      <c r="F371" s="41" t="n"/>
      <c r="H371" s="41" t="n"/>
    </row>
    <row r="372" ht="25.8" customHeight="1">
      <c r="B372" s="41" t="n"/>
      <c r="C372" s="41" t="n"/>
      <c r="F372" s="41" t="n"/>
      <c r="H372" s="41" t="n"/>
    </row>
    <row r="373" ht="25.8" customHeight="1">
      <c r="B373" s="41" t="n"/>
      <c r="C373" s="41" t="n"/>
      <c r="F373" s="41" t="n"/>
      <c r="H373" s="41" t="n"/>
    </row>
    <row r="374" ht="25.8" customHeight="1">
      <c r="B374" s="41" t="n"/>
      <c r="C374" s="41" t="n"/>
      <c r="F374" s="41" t="n"/>
      <c r="H374" s="41" t="n"/>
    </row>
    <row r="375" ht="25.8" customHeight="1">
      <c r="B375" s="41" t="n"/>
      <c r="C375" s="41" t="n"/>
      <c r="F375" s="41" t="n"/>
      <c r="H375" s="41" t="n"/>
    </row>
    <row r="376" ht="25.8" customHeight="1">
      <c r="B376" s="41" t="n"/>
      <c r="C376" s="41" t="n"/>
      <c r="F376" s="41" t="n"/>
      <c r="H376" s="41" t="n"/>
    </row>
    <row r="377" ht="25.8" customHeight="1">
      <c r="B377" s="41" t="n"/>
      <c r="C377" s="41" t="n"/>
      <c r="F377" s="41" t="n"/>
      <c r="H377" s="41" t="n"/>
    </row>
    <row r="378" ht="25.8" customHeight="1">
      <c r="B378" s="41" t="n"/>
      <c r="C378" s="41" t="n"/>
      <c r="F378" s="41" t="n"/>
      <c r="H378" s="41" t="n"/>
    </row>
    <row r="379" ht="25.8" customHeight="1">
      <c r="B379" s="41" t="n"/>
      <c r="C379" s="41" t="n"/>
      <c r="F379" s="41" t="n"/>
      <c r="H379" s="41" t="n"/>
    </row>
    <row r="380" ht="25.8" customHeight="1">
      <c r="B380" s="41" t="n"/>
      <c r="C380" s="41" t="n"/>
      <c r="F380" s="41" t="n"/>
      <c r="H380" s="41" t="n"/>
    </row>
    <row r="381" ht="25.8" customHeight="1">
      <c r="B381" s="41" t="n"/>
      <c r="C381" s="41" t="n"/>
      <c r="F381" s="41" t="n"/>
      <c r="H381" s="41" t="n"/>
    </row>
    <row r="382" ht="25.8" customHeight="1">
      <c r="B382" s="41" t="n"/>
      <c r="C382" s="41" t="n"/>
      <c r="F382" s="41" t="n"/>
      <c r="H382" s="41" t="n"/>
    </row>
    <row r="383" ht="25.8" customHeight="1">
      <c r="B383" s="41" t="n"/>
      <c r="C383" s="41" t="n"/>
      <c r="F383" s="41" t="n"/>
      <c r="H383" s="41" t="n"/>
    </row>
    <row r="384" ht="25.8" customHeight="1">
      <c r="B384" s="41" t="n"/>
      <c r="C384" s="41" t="n"/>
      <c r="F384" s="41" t="n"/>
      <c r="H384" s="41" t="n"/>
    </row>
    <row r="385" ht="25.8" customHeight="1">
      <c r="B385" s="41" t="n"/>
      <c r="C385" s="41" t="n"/>
      <c r="F385" s="41" t="n"/>
      <c r="H385" s="41" t="n"/>
    </row>
    <row r="386" ht="25.8" customHeight="1">
      <c r="B386" s="41" t="n"/>
      <c r="C386" s="41" t="n"/>
      <c r="F386" s="41" t="n"/>
      <c r="H386" s="41" t="n"/>
    </row>
    <row r="387" ht="25.8" customHeight="1">
      <c r="B387" s="41" t="n"/>
      <c r="C387" s="41" t="n"/>
      <c r="F387" s="41" t="n"/>
      <c r="H387" s="41" t="n"/>
    </row>
    <row r="388" ht="25.8" customHeight="1">
      <c r="B388" s="41" t="n"/>
      <c r="C388" s="41" t="n"/>
      <c r="F388" s="41" t="n"/>
      <c r="H388" s="41" t="n"/>
    </row>
    <row r="389" ht="25.8" customHeight="1">
      <c r="B389" s="41" t="n"/>
      <c r="C389" s="41" t="n"/>
      <c r="F389" s="41" t="n"/>
      <c r="H389" s="41" t="n"/>
    </row>
    <row r="390" ht="25.8" customHeight="1">
      <c r="B390" s="41" t="n"/>
      <c r="C390" s="41" t="n"/>
      <c r="F390" s="41" t="n"/>
      <c r="H390" s="41" t="n"/>
    </row>
    <row r="391" ht="25.8" customHeight="1">
      <c r="B391" s="41" t="n"/>
      <c r="C391" s="41" t="n"/>
      <c r="F391" s="41" t="n"/>
      <c r="H391" s="41" t="n"/>
    </row>
    <row r="392" ht="25.8" customHeight="1">
      <c r="B392" s="41" t="n"/>
      <c r="C392" s="41" t="n"/>
      <c r="F392" s="41" t="n"/>
      <c r="H392" s="41" t="n"/>
    </row>
    <row r="393" ht="25.8" customHeight="1">
      <c r="B393" s="41" t="n"/>
      <c r="C393" s="41" t="n"/>
      <c r="F393" s="41" t="n"/>
      <c r="H393" s="41" t="n"/>
    </row>
    <row r="394" ht="25.8" customHeight="1">
      <c r="B394" s="41" t="n"/>
      <c r="C394" s="41" t="n"/>
      <c r="F394" s="41" t="n"/>
      <c r="H394" s="41" t="n"/>
    </row>
    <row r="395" ht="25.8" customHeight="1">
      <c r="B395" s="41" t="n"/>
      <c r="C395" s="41" t="n"/>
      <c r="F395" s="41" t="n"/>
      <c r="H395" s="41" t="n"/>
    </row>
    <row r="396" ht="25.8" customHeight="1">
      <c r="B396" s="41" t="n"/>
      <c r="C396" s="41" t="n"/>
      <c r="F396" s="41" t="n"/>
      <c r="H396" s="41" t="n"/>
    </row>
    <row r="397" ht="25.8" customHeight="1">
      <c r="B397" s="41" t="n"/>
      <c r="C397" s="41" t="n"/>
      <c r="F397" s="41" t="n"/>
      <c r="H397" s="41" t="n"/>
    </row>
    <row r="398" ht="25.8" customHeight="1">
      <c r="B398" s="41" t="n"/>
      <c r="C398" s="41" t="n"/>
      <c r="F398" s="41" t="n"/>
      <c r="H398" s="41" t="n"/>
    </row>
    <row r="399" ht="25.8" customHeight="1">
      <c r="B399" s="41" t="n"/>
      <c r="C399" s="41" t="n"/>
      <c r="F399" s="41" t="n"/>
      <c r="H399" s="41" t="n"/>
    </row>
    <row r="400" ht="25.8" customHeight="1">
      <c r="B400" s="41" t="n"/>
      <c r="C400" s="41" t="n"/>
      <c r="F400" s="41" t="n"/>
      <c r="H400" s="41" t="n"/>
    </row>
    <row r="401" ht="25.8" customHeight="1">
      <c r="B401" s="41" t="n"/>
      <c r="C401" s="41" t="n"/>
      <c r="F401" s="41" t="n"/>
      <c r="H401" s="41" t="n"/>
    </row>
    <row r="402" ht="25.8" customHeight="1">
      <c r="B402" s="41" t="n"/>
      <c r="C402" s="41" t="n"/>
      <c r="F402" s="41" t="n"/>
      <c r="H402" s="41" t="n"/>
    </row>
    <row r="403" ht="25.8" customHeight="1">
      <c r="B403" s="41" t="n"/>
      <c r="C403" s="41" t="n"/>
      <c r="F403" s="41" t="n"/>
      <c r="H403" s="41" t="n"/>
    </row>
    <row r="404" ht="25.8" customHeight="1">
      <c r="B404" s="41" t="n"/>
      <c r="C404" s="41" t="n"/>
      <c r="F404" s="41" t="n"/>
      <c r="H404" s="41" t="n"/>
    </row>
    <row r="405" ht="25.8" customHeight="1">
      <c r="B405" s="41" t="n"/>
      <c r="C405" s="41" t="n"/>
      <c r="F405" s="41" t="n"/>
      <c r="H405" s="41" t="n"/>
    </row>
    <row r="406" ht="25.8" customHeight="1">
      <c r="B406" s="41" t="n"/>
      <c r="C406" s="41" t="n"/>
      <c r="F406" s="41" t="n"/>
      <c r="H406" s="41" t="n"/>
    </row>
    <row r="407" ht="25.8" customHeight="1">
      <c r="B407" s="41" t="n"/>
      <c r="C407" s="41" t="n"/>
      <c r="F407" s="41" t="n"/>
      <c r="H407" s="41" t="n"/>
    </row>
    <row r="408" ht="25.8" customHeight="1">
      <c r="B408" s="41" t="n"/>
      <c r="C408" s="41" t="n"/>
      <c r="F408" s="41" t="n"/>
      <c r="H408" s="41" t="n"/>
    </row>
    <row r="409" ht="25.8" customHeight="1">
      <c r="B409" s="41" t="n"/>
      <c r="C409" s="41" t="n"/>
      <c r="F409" s="41" t="n"/>
      <c r="H409" s="41" t="n"/>
    </row>
    <row r="410" ht="25.8" customHeight="1">
      <c r="B410" s="41" t="n"/>
      <c r="C410" s="41" t="n"/>
      <c r="F410" s="41" t="n"/>
      <c r="H410" s="41" t="n"/>
    </row>
    <row r="411" ht="25.8" customHeight="1">
      <c r="B411" s="41" t="n"/>
      <c r="C411" s="41" t="n"/>
      <c r="F411" s="41" t="n"/>
      <c r="H411" s="41" t="n"/>
    </row>
    <row r="412" ht="25.8" customHeight="1">
      <c r="B412" s="41" t="n"/>
      <c r="C412" s="41" t="n"/>
      <c r="F412" s="41" t="n"/>
      <c r="H412" s="41" t="n"/>
    </row>
    <row r="413" ht="25.8" customHeight="1">
      <c r="B413" s="41" t="n"/>
      <c r="C413" s="41" t="n"/>
      <c r="F413" s="41" t="n"/>
      <c r="H413" s="41" t="n"/>
    </row>
    <row r="414" ht="25.8" customHeight="1">
      <c r="B414" s="41" t="n"/>
      <c r="C414" s="41" t="n"/>
      <c r="F414" s="41" t="n"/>
      <c r="H414" s="41" t="n"/>
    </row>
    <row r="415" ht="25.8" customHeight="1">
      <c r="B415" s="41" t="n"/>
      <c r="C415" s="41" t="n"/>
      <c r="F415" s="41" t="n"/>
      <c r="H415" s="41" t="n"/>
    </row>
    <row r="416" ht="25.8" customHeight="1">
      <c r="B416" s="41" t="n"/>
      <c r="C416" s="41" t="n"/>
      <c r="F416" s="41" t="n"/>
      <c r="H416" s="41" t="n"/>
    </row>
    <row r="417" ht="25.8" customHeight="1">
      <c r="B417" s="41" t="n"/>
      <c r="C417" s="41" t="n"/>
      <c r="F417" s="41" t="n"/>
      <c r="H417" s="41" t="n"/>
    </row>
    <row r="418" ht="25.8" customHeight="1">
      <c r="B418" s="41" t="n"/>
      <c r="C418" s="41" t="n"/>
      <c r="F418" s="41" t="n"/>
      <c r="H418" s="41" t="n"/>
    </row>
    <row r="419" ht="25.8" customHeight="1">
      <c r="B419" s="41" t="n"/>
      <c r="C419" s="41" t="n"/>
      <c r="F419" s="41" t="n"/>
      <c r="H419" s="41" t="n"/>
    </row>
    <row r="420" ht="25.8" customHeight="1">
      <c r="B420" s="41" t="n"/>
      <c r="C420" s="41" t="n"/>
      <c r="F420" s="41" t="n"/>
      <c r="H420" s="41" t="n"/>
    </row>
    <row r="421" ht="25.8" customHeight="1">
      <c r="B421" s="41" t="n"/>
      <c r="C421" s="41" t="n"/>
      <c r="F421" s="41" t="n"/>
      <c r="H421" s="41" t="n"/>
    </row>
    <row r="422" ht="25.8" customHeight="1">
      <c r="B422" s="41" t="n"/>
      <c r="C422" s="41" t="n"/>
      <c r="F422" s="41" t="n"/>
      <c r="H422" s="41" t="n"/>
    </row>
    <row r="423" ht="25.8" customHeight="1">
      <c r="B423" s="41" t="n"/>
      <c r="C423" s="41" t="n"/>
      <c r="F423" s="41" t="n"/>
      <c r="H423" s="41" t="n"/>
    </row>
    <row r="424" ht="25.8" customHeight="1">
      <c r="B424" s="41" t="n"/>
      <c r="C424" s="41" t="n"/>
      <c r="F424" s="41" t="n"/>
      <c r="H424" s="41" t="n"/>
    </row>
    <row r="425" ht="25.8" customHeight="1">
      <c r="B425" s="41" t="n"/>
      <c r="C425" s="41" t="n"/>
      <c r="F425" s="41" t="n"/>
      <c r="H425" s="41" t="n"/>
    </row>
    <row r="426" ht="25.8" customHeight="1">
      <c r="B426" s="41" t="n"/>
      <c r="C426" s="41" t="n"/>
      <c r="F426" s="41" t="n"/>
      <c r="H426" s="41" t="n"/>
    </row>
    <row r="427" ht="25.8" customHeight="1">
      <c r="B427" s="41" t="n"/>
      <c r="C427" s="41" t="n"/>
      <c r="F427" s="41" t="n"/>
      <c r="H427" s="41" t="n"/>
    </row>
    <row r="428" ht="25.8" customHeight="1">
      <c r="B428" s="41" t="n"/>
      <c r="C428" s="41" t="n"/>
      <c r="F428" s="41" t="n"/>
      <c r="H428" s="41" t="n"/>
    </row>
    <row r="429" ht="25.8" customHeight="1">
      <c r="B429" s="41" t="n"/>
      <c r="C429" s="41" t="n"/>
      <c r="F429" s="41" t="n"/>
      <c r="H429" s="41" t="n"/>
    </row>
    <row r="430" ht="25.8" customHeight="1">
      <c r="B430" s="41" t="n"/>
      <c r="C430" s="41" t="n"/>
      <c r="F430" s="41" t="n"/>
      <c r="H430" s="41" t="n"/>
    </row>
    <row r="431" ht="25.8" customHeight="1">
      <c r="B431" s="41" t="n"/>
      <c r="C431" s="41" t="n"/>
      <c r="F431" s="41" t="n"/>
      <c r="H431" s="41" t="n"/>
    </row>
    <row r="432" ht="25.8" customHeight="1">
      <c r="B432" s="41" t="n"/>
      <c r="C432" s="41" t="n"/>
      <c r="F432" s="41" t="n"/>
      <c r="H432" s="41" t="n"/>
    </row>
    <row r="433" ht="25.8" customHeight="1">
      <c r="B433" s="41" t="n"/>
      <c r="C433" s="41" t="n"/>
      <c r="F433" s="41" t="n"/>
      <c r="H433" s="41" t="n"/>
    </row>
    <row r="434" ht="25.8" customHeight="1">
      <c r="B434" s="41" t="n"/>
      <c r="C434" s="41" t="n"/>
      <c r="F434" s="41" t="n"/>
      <c r="H434" s="41" t="n"/>
    </row>
    <row r="435" ht="25.8" customHeight="1">
      <c r="B435" s="41" t="n"/>
      <c r="C435" s="41" t="n"/>
      <c r="F435" s="41" t="n"/>
      <c r="H435" s="41" t="n"/>
    </row>
    <row r="436" ht="25.8" customHeight="1">
      <c r="B436" s="41" t="n"/>
      <c r="C436" s="41" t="n"/>
      <c r="F436" s="41" t="n"/>
      <c r="H436" s="41" t="n"/>
    </row>
    <row r="437" ht="25.8" customHeight="1">
      <c r="B437" s="41" t="n"/>
      <c r="C437" s="41" t="n"/>
      <c r="F437" s="41" t="n"/>
      <c r="H437" s="41" t="n"/>
    </row>
    <row r="438" ht="25.8" customHeight="1">
      <c r="B438" s="41" t="n"/>
      <c r="C438" s="41" t="n"/>
      <c r="F438" s="41" t="n"/>
      <c r="H438" s="41" t="n"/>
    </row>
    <row r="439" ht="25.8" customHeight="1">
      <c r="B439" s="41" t="n"/>
      <c r="C439" s="41" t="n"/>
      <c r="F439" s="41" t="n"/>
      <c r="H439" s="41" t="n"/>
    </row>
    <row r="440" ht="25.8" customHeight="1">
      <c r="B440" s="41" t="n"/>
      <c r="C440" s="41" t="n"/>
      <c r="F440" s="41" t="n"/>
      <c r="H440" s="41" t="n"/>
    </row>
    <row r="441" ht="25.8" customHeight="1">
      <c r="B441" s="41" t="n"/>
      <c r="C441" s="41" t="n"/>
      <c r="F441" s="41" t="n"/>
      <c r="H441" s="41" t="n"/>
    </row>
    <row r="442" ht="25.8" customHeight="1">
      <c r="B442" s="41" t="n"/>
      <c r="C442" s="41" t="n"/>
      <c r="F442" s="41" t="n"/>
      <c r="H442" s="41" t="n"/>
    </row>
    <row r="443" ht="25.8" customHeight="1">
      <c r="B443" s="41" t="n"/>
      <c r="C443" s="41" t="n"/>
      <c r="F443" s="41" t="n"/>
      <c r="H443" s="41" t="n"/>
    </row>
    <row r="444" ht="25.8" customHeight="1">
      <c r="B444" s="41" t="n"/>
      <c r="C444" s="41" t="n"/>
      <c r="F444" s="41" t="n"/>
      <c r="H444" s="41" t="n"/>
    </row>
    <row r="445" ht="25.8" customHeight="1">
      <c r="B445" s="41" t="n"/>
      <c r="C445" s="41" t="n"/>
      <c r="F445" s="41" t="n"/>
      <c r="H445" s="41" t="n"/>
    </row>
    <row r="446" ht="25.8" customHeight="1">
      <c r="B446" s="41" t="n"/>
      <c r="C446" s="41" t="n"/>
      <c r="F446" s="41" t="n"/>
      <c r="H446" s="41" t="n"/>
    </row>
    <row r="447" ht="25.8" customHeight="1">
      <c r="B447" s="41" t="n"/>
      <c r="C447" s="41" t="n"/>
      <c r="F447" s="41" t="n"/>
      <c r="H447" s="41" t="n"/>
    </row>
    <row r="448" ht="25.8" customHeight="1">
      <c r="B448" s="41" t="n"/>
      <c r="C448" s="41" t="n"/>
      <c r="F448" s="41" t="n"/>
      <c r="H448" s="41" t="n"/>
    </row>
    <row r="449" ht="25.8" customHeight="1">
      <c r="B449" s="41" t="n"/>
      <c r="C449" s="41" t="n"/>
      <c r="F449" s="41" t="n"/>
      <c r="H449" s="41" t="n"/>
    </row>
    <row r="450" ht="25.8" customHeight="1">
      <c r="B450" s="41" t="n"/>
      <c r="C450" s="41" t="n"/>
      <c r="F450" s="41" t="n"/>
      <c r="H450" s="41" t="n"/>
    </row>
    <row r="451" ht="25.8" customHeight="1">
      <c r="B451" s="41" t="n"/>
      <c r="C451" s="41" t="n"/>
      <c r="F451" s="41" t="n"/>
      <c r="H451" s="41" t="n"/>
    </row>
    <row r="452" ht="25.8" customHeight="1">
      <c r="B452" s="41" t="n"/>
      <c r="C452" s="41" t="n"/>
      <c r="F452" s="41" t="n"/>
      <c r="H452" s="41" t="n"/>
    </row>
    <row r="453" ht="25.8" customHeight="1">
      <c r="B453" s="41" t="n"/>
      <c r="C453" s="41" t="n"/>
      <c r="F453" s="41" t="n"/>
      <c r="H453" s="41" t="n"/>
    </row>
    <row r="454" ht="25.8" customHeight="1">
      <c r="B454" s="41" t="n"/>
      <c r="C454" s="41" t="n"/>
      <c r="F454" s="41" t="n"/>
      <c r="H454" s="41" t="n"/>
    </row>
    <row r="455" ht="25.8" customHeight="1">
      <c r="B455" s="41" t="n"/>
      <c r="C455" s="41" t="n"/>
      <c r="F455" s="41" t="n"/>
      <c r="H455" s="41" t="n"/>
    </row>
    <row r="456" ht="25.8" customHeight="1">
      <c r="B456" s="41" t="n"/>
      <c r="C456" s="41" t="n"/>
      <c r="F456" s="41" t="n"/>
      <c r="H456" s="41" t="n"/>
    </row>
    <row r="457" ht="25.8" customHeight="1">
      <c r="B457" s="41" t="n"/>
      <c r="C457" s="41" t="n"/>
      <c r="F457" s="41" t="n"/>
      <c r="H457" s="41" t="n"/>
    </row>
    <row r="458" ht="25.8" customHeight="1">
      <c r="B458" s="41" t="n"/>
      <c r="C458" s="41" t="n"/>
      <c r="F458" s="41" t="n"/>
      <c r="H458" s="41" t="n"/>
    </row>
    <row r="459" ht="25.8" customHeight="1">
      <c r="B459" s="41" t="n"/>
      <c r="C459" s="41" t="n"/>
      <c r="F459" s="41" t="n"/>
      <c r="H459" s="41" t="n"/>
    </row>
    <row r="460" ht="25.8" customHeight="1">
      <c r="B460" s="41" t="n"/>
      <c r="C460" s="41" t="n"/>
      <c r="F460" s="41" t="n"/>
      <c r="H460" s="41" t="n"/>
    </row>
    <row r="461" ht="25.8" customHeight="1">
      <c r="B461" s="41" t="n"/>
      <c r="C461" s="41" t="n"/>
      <c r="F461" s="41" t="n"/>
      <c r="H461" s="41" t="n"/>
    </row>
    <row r="462" ht="25.8" customHeight="1">
      <c r="B462" s="41" t="n"/>
      <c r="C462" s="41" t="n"/>
      <c r="F462" s="41" t="n"/>
      <c r="H462" s="41" t="n"/>
    </row>
    <row r="463" ht="25.8" customHeight="1">
      <c r="B463" s="41" t="n"/>
      <c r="C463" s="41" t="n"/>
      <c r="F463" s="41" t="n"/>
      <c r="H463" s="41" t="n"/>
    </row>
    <row r="464" ht="25.8" customHeight="1">
      <c r="B464" s="41" t="n"/>
      <c r="C464" s="41" t="n"/>
      <c r="F464" s="41" t="n"/>
      <c r="H464" s="41" t="n"/>
    </row>
    <row r="465" ht="25.8" customHeight="1">
      <c r="B465" s="41" t="n"/>
      <c r="C465" s="41" t="n"/>
      <c r="F465" s="41" t="n"/>
      <c r="H465" s="41" t="n"/>
    </row>
    <row r="466" ht="25.8" customHeight="1">
      <c r="B466" s="41" t="n"/>
      <c r="C466" s="41" t="n"/>
      <c r="F466" s="41" t="n"/>
      <c r="H466" s="41" t="n"/>
    </row>
    <row r="467" ht="25.8" customHeight="1">
      <c r="B467" s="41" t="n"/>
      <c r="C467" s="41" t="n"/>
      <c r="F467" s="41" t="n"/>
      <c r="H467" s="41" t="n"/>
    </row>
    <row r="468" ht="25.8" customHeight="1">
      <c r="B468" s="41" t="n"/>
      <c r="C468" s="41" t="n"/>
      <c r="F468" s="41" t="n"/>
      <c r="H468" s="41" t="n"/>
    </row>
    <row r="469" ht="25.8" customHeight="1">
      <c r="B469" s="41" t="n"/>
      <c r="C469" s="41" t="n"/>
      <c r="F469" s="41" t="n"/>
      <c r="H469" s="41" t="n"/>
    </row>
    <row r="470" ht="25.8" customHeight="1">
      <c r="B470" s="41" t="n"/>
      <c r="C470" s="41" t="n"/>
      <c r="F470" s="41" t="n"/>
      <c r="H470" s="41" t="n"/>
    </row>
    <row r="471" ht="25.8" customHeight="1">
      <c r="B471" s="41" t="n"/>
      <c r="C471" s="41" t="n"/>
      <c r="F471" s="41" t="n"/>
      <c r="H471" s="41" t="n"/>
    </row>
    <row r="472" ht="25.8" customHeight="1">
      <c r="B472" s="41" t="n"/>
      <c r="C472" s="41" t="n"/>
      <c r="F472" s="41" t="n"/>
      <c r="H472" s="41" t="n"/>
    </row>
    <row r="473" ht="25.8" customHeight="1">
      <c r="B473" s="41" t="n"/>
      <c r="C473" s="41" t="n"/>
      <c r="F473" s="41" t="n"/>
      <c r="H473" s="41" t="n"/>
    </row>
    <row r="474" ht="25.8" customHeight="1">
      <c r="B474" s="41" t="n"/>
      <c r="C474" s="41" t="n"/>
      <c r="F474" s="41" t="n"/>
      <c r="H474" s="41" t="n"/>
    </row>
    <row r="475" ht="25.8" customHeight="1">
      <c r="B475" s="41" t="n"/>
      <c r="C475" s="41" t="n"/>
      <c r="F475" s="41" t="n"/>
      <c r="H475" s="41" t="n"/>
    </row>
    <row r="476" ht="25.8" customHeight="1">
      <c r="B476" s="41" t="n"/>
      <c r="C476" s="41" t="n"/>
      <c r="F476" s="41" t="n"/>
      <c r="H476" s="41" t="n"/>
    </row>
    <row r="477" ht="25.8" customHeight="1">
      <c r="B477" s="41" t="n"/>
      <c r="C477" s="41" t="n"/>
      <c r="F477" s="41" t="n"/>
      <c r="H477" s="41" t="n"/>
    </row>
    <row r="478" ht="25.8" customHeight="1">
      <c r="B478" s="41" t="n"/>
      <c r="C478" s="41" t="n"/>
      <c r="F478" s="41" t="n"/>
      <c r="H478" s="41" t="n"/>
    </row>
    <row r="479" ht="25.8" customHeight="1">
      <c r="B479" s="41" t="n"/>
      <c r="C479" s="41" t="n"/>
      <c r="F479" s="41" t="n"/>
      <c r="H479" s="41" t="n"/>
    </row>
    <row r="480" ht="25.8" customHeight="1">
      <c r="B480" s="41" t="n"/>
      <c r="C480" s="41" t="n"/>
      <c r="F480" s="41" t="n"/>
      <c r="H480" s="41" t="n"/>
    </row>
    <row r="481" ht="25.8" customHeight="1">
      <c r="B481" s="41" t="n"/>
      <c r="C481" s="41" t="n"/>
      <c r="F481" s="41" t="n"/>
      <c r="H481" s="41" t="n"/>
    </row>
    <row r="482" ht="25.8" customHeight="1">
      <c r="B482" s="41" t="n"/>
      <c r="C482" s="41" t="n"/>
      <c r="F482" s="41" t="n"/>
      <c r="H482" s="41" t="n"/>
    </row>
    <row r="483" ht="25.8" customHeight="1">
      <c r="B483" s="41" t="n"/>
      <c r="C483" s="41" t="n"/>
      <c r="F483" s="41" t="n"/>
      <c r="H483" s="41" t="n"/>
    </row>
    <row r="484" ht="25.8" customHeight="1">
      <c r="B484" s="41" t="n"/>
      <c r="C484" s="41" t="n"/>
      <c r="F484" s="41" t="n"/>
      <c r="H484" s="41" t="n"/>
    </row>
    <row r="485" ht="25.8" customHeight="1">
      <c r="B485" s="41" t="n"/>
      <c r="C485" s="41" t="n"/>
      <c r="F485" s="41" t="n"/>
      <c r="H485" s="41" t="n"/>
    </row>
    <row r="486" ht="25.8" customHeight="1">
      <c r="B486" s="41" t="n"/>
      <c r="C486" s="41" t="n"/>
      <c r="F486" s="41" t="n"/>
      <c r="H486" s="41" t="n"/>
    </row>
    <row r="487" ht="25.8" customHeight="1">
      <c r="B487" s="41" t="n"/>
      <c r="C487" s="41" t="n"/>
      <c r="F487" s="41" t="n"/>
      <c r="H487" s="41" t="n"/>
    </row>
    <row r="488" ht="25.8" customHeight="1">
      <c r="B488" s="41" t="n"/>
      <c r="C488" s="41" t="n"/>
      <c r="F488" s="41" t="n"/>
      <c r="H488" s="41" t="n"/>
    </row>
    <row r="489" ht="25.8" customHeight="1">
      <c r="B489" s="41" t="n"/>
      <c r="C489" s="41" t="n"/>
      <c r="F489" s="41" t="n"/>
      <c r="H489" s="41" t="n"/>
    </row>
    <row r="490" ht="25.8" customHeight="1">
      <c r="B490" s="41" t="n"/>
      <c r="C490" s="41" t="n"/>
      <c r="F490" s="41" t="n"/>
      <c r="H490" s="41" t="n"/>
    </row>
    <row r="491" ht="25.8" customHeight="1">
      <c r="B491" s="41" t="n"/>
      <c r="C491" s="41" t="n"/>
      <c r="F491" s="41" t="n"/>
      <c r="H491" s="41" t="n"/>
    </row>
    <row r="492" ht="25.8" customHeight="1">
      <c r="B492" s="41" t="n"/>
      <c r="C492" s="41" t="n"/>
      <c r="F492" s="41" t="n"/>
      <c r="H492" s="41" t="n"/>
    </row>
    <row r="493" ht="25.8" customHeight="1">
      <c r="B493" s="41" t="n"/>
      <c r="C493" s="41" t="n"/>
      <c r="F493" s="41" t="n"/>
      <c r="H493" s="41" t="n"/>
    </row>
    <row r="494" ht="25.8" customHeight="1">
      <c r="B494" s="41" t="n"/>
      <c r="C494" s="41" t="n"/>
      <c r="F494" s="41" t="n"/>
      <c r="H494" s="41" t="n"/>
    </row>
    <row r="495" ht="25.8" customHeight="1">
      <c r="B495" s="41" t="n"/>
      <c r="C495" s="41" t="n"/>
      <c r="F495" s="41" t="n"/>
      <c r="H495" s="41" t="n"/>
    </row>
    <row r="496" ht="25.8" customHeight="1">
      <c r="B496" s="41" t="n"/>
      <c r="C496" s="41" t="n"/>
      <c r="F496" s="41" t="n"/>
      <c r="H496" s="41" t="n"/>
    </row>
    <row r="497" ht="25.8" customHeight="1">
      <c r="B497" s="41" t="n"/>
      <c r="C497" s="41" t="n"/>
      <c r="F497" s="41" t="n"/>
      <c r="H497" s="41" t="n"/>
    </row>
    <row r="498" ht="25.8" customHeight="1">
      <c r="B498" s="41" t="n"/>
      <c r="C498" s="41" t="n"/>
      <c r="F498" s="41" t="n"/>
      <c r="H498" s="41" t="n"/>
    </row>
    <row r="499" ht="25.8" customHeight="1">
      <c r="B499" s="41" t="n"/>
      <c r="C499" s="41" t="n"/>
      <c r="F499" s="41" t="n"/>
      <c r="H499" s="41" t="n"/>
    </row>
    <row r="500" ht="25.8" customHeight="1">
      <c r="B500" s="41" t="n"/>
      <c r="C500" s="41" t="n"/>
      <c r="F500" s="41" t="n"/>
      <c r="H500" s="41" t="n"/>
    </row>
    <row r="501" ht="25.8" customHeight="1">
      <c r="B501" s="41" t="n"/>
      <c r="C501" s="41" t="n"/>
      <c r="F501" s="41" t="n"/>
      <c r="H501" s="41" t="n"/>
    </row>
    <row r="502" ht="25.8" customHeight="1">
      <c r="B502" s="41" t="n"/>
      <c r="C502" s="41" t="n"/>
      <c r="F502" s="41" t="n"/>
      <c r="H502" s="41" t="n"/>
    </row>
    <row r="503" ht="25.8" customHeight="1">
      <c r="B503" s="41" t="n"/>
      <c r="C503" s="41" t="n"/>
      <c r="F503" s="41" t="n"/>
      <c r="H503" s="41" t="n"/>
    </row>
    <row r="504" ht="25.8" customHeight="1">
      <c r="B504" s="41" t="n"/>
      <c r="C504" s="41" t="n"/>
      <c r="F504" s="41" t="n"/>
      <c r="H504" s="41" t="n"/>
    </row>
    <row r="505" ht="25.8" customHeight="1">
      <c r="B505" s="41" t="n"/>
      <c r="C505" s="41" t="n"/>
      <c r="F505" s="41" t="n"/>
      <c r="H505" s="41" t="n"/>
    </row>
    <row r="506" ht="25.8" customHeight="1">
      <c r="B506" s="41" t="n"/>
      <c r="C506" s="41" t="n"/>
      <c r="F506" s="41" t="n"/>
      <c r="H506" s="41" t="n"/>
    </row>
    <row r="507" ht="25.8" customHeight="1">
      <c r="B507" s="41" t="n"/>
      <c r="C507" s="41" t="n"/>
      <c r="F507" s="41" t="n"/>
      <c r="H507" s="41" t="n"/>
    </row>
    <row r="508" ht="25.8" customHeight="1">
      <c r="B508" s="41" t="n"/>
      <c r="C508" s="41" t="n"/>
      <c r="F508" s="41" t="n"/>
      <c r="H508" s="41" t="n"/>
    </row>
    <row r="509" ht="25.8" customHeight="1">
      <c r="B509" s="41" t="n"/>
      <c r="C509" s="41" t="n"/>
      <c r="F509" s="41" t="n"/>
      <c r="H509" s="41" t="n"/>
    </row>
    <row r="510" ht="25.8" customHeight="1">
      <c r="B510" s="41" t="n"/>
      <c r="C510" s="41" t="n"/>
      <c r="F510" s="41" t="n"/>
      <c r="H510" s="41" t="n"/>
    </row>
    <row r="511" ht="25.8" customHeight="1">
      <c r="B511" s="41" t="n"/>
      <c r="C511" s="41" t="n"/>
      <c r="F511" s="41" t="n"/>
      <c r="H511" s="41" t="n"/>
    </row>
    <row r="512" ht="25.8" customHeight="1">
      <c r="B512" s="41" t="n"/>
      <c r="C512" s="41" t="n"/>
      <c r="F512" s="41" t="n"/>
      <c r="H512" s="41" t="n"/>
    </row>
    <row r="513" ht="25.8" customHeight="1">
      <c r="B513" s="41" t="n"/>
      <c r="C513" s="41" t="n"/>
      <c r="F513" s="41" t="n"/>
      <c r="H513" s="41" t="n"/>
    </row>
    <row r="514" ht="25.8" customHeight="1">
      <c r="B514" s="41" t="n"/>
      <c r="C514" s="41" t="n"/>
      <c r="F514" s="41" t="n"/>
      <c r="H514" s="41" t="n"/>
    </row>
    <row r="515" ht="25.8" customHeight="1">
      <c r="B515" s="41" t="n"/>
      <c r="C515" s="41" t="n"/>
      <c r="F515" s="41" t="n"/>
      <c r="H515" s="41" t="n"/>
    </row>
    <row r="516" ht="25.8" customHeight="1">
      <c r="B516" s="41" t="n"/>
      <c r="C516" s="41" t="n"/>
      <c r="F516" s="41" t="n"/>
      <c r="H516" s="41" t="n"/>
    </row>
    <row r="517" ht="25.8" customHeight="1">
      <c r="B517" s="41" t="n"/>
      <c r="C517" s="41" t="n"/>
      <c r="F517" s="41" t="n"/>
      <c r="H517" s="41" t="n"/>
    </row>
    <row r="518" ht="25.8" customHeight="1">
      <c r="B518" s="41" t="n"/>
      <c r="C518" s="41" t="n"/>
      <c r="F518" s="41" t="n"/>
      <c r="H518" s="41" t="n"/>
    </row>
    <row r="519" ht="25.8" customHeight="1">
      <c r="B519" s="41" t="n"/>
      <c r="C519" s="41" t="n"/>
      <c r="F519" s="41" t="n"/>
      <c r="H519" s="41" t="n"/>
    </row>
    <row r="520" ht="25.8" customHeight="1">
      <c r="B520" s="41" t="n"/>
      <c r="C520" s="41" t="n"/>
      <c r="F520" s="41" t="n"/>
      <c r="H520" s="41" t="n"/>
    </row>
    <row r="521" ht="25.8" customHeight="1">
      <c r="B521" s="41" t="n"/>
      <c r="C521" s="41" t="n"/>
      <c r="F521" s="41" t="n"/>
      <c r="H521" s="41" t="n"/>
    </row>
    <row r="522" ht="25.8" customHeight="1">
      <c r="B522" s="41" t="n"/>
      <c r="C522" s="41" t="n"/>
      <c r="F522" s="41" t="n"/>
      <c r="H522" s="41" t="n"/>
    </row>
    <row r="523" ht="25.8" customHeight="1">
      <c r="B523" s="41" t="n"/>
      <c r="C523" s="41" t="n"/>
      <c r="F523" s="41" t="n"/>
      <c r="H523" s="41" t="n"/>
    </row>
    <row r="524" ht="25.8" customHeight="1">
      <c r="B524" s="41" t="n"/>
      <c r="C524" s="41" t="n"/>
      <c r="F524" s="41" t="n"/>
      <c r="H524" s="41" t="n"/>
    </row>
    <row r="525" ht="25.8" customHeight="1">
      <c r="B525" s="41" t="n"/>
      <c r="C525" s="41" t="n"/>
      <c r="F525" s="41" t="n"/>
      <c r="H525" s="41" t="n"/>
    </row>
    <row r="526" ht="25.8" customHeight="1">
      <c r="B526" s="41" t="n"/>
      <c r="C526" s="41" t="n"/>
      <c r="F526" s="41" t="n"/>
      <c r="H526" s="41" t="n"/>
    </row>
    <row r="527" ht="25.8" customHeight="1">
      <c r="B527" s="41" t="n"/>
      <c r="C527" s="41" t="n"/>
      <c r="F527" s="41" t="n"/>
      <c r="H527" s="41" t="n"/>
    </row>
    <row r="528" ht="25.8" customHeight="1">
      <c r="B528" s="41" t="n"/>
      <c r="C528" s="41" t="n"/>
      <c r="F528" s="41" t="n"/>
      <c r="H528" s="41" t="n"/>
    </row>
    <row r="529" ht="25.8" customHeight="1">
      <c r="B529" s="41" t="n"/>
      <c r="C529" s="41" t="n"/>
      <c r="F529" s="41" t="n"/>
      <c r="H529" s="41" t="n"/>
    </row>
    <row r="530" ht="25.8" customHeight="1">
      <c r="B530" s="41" t="n"/>
      <c r="C530" s="41" t="n"/>
      <c r="F530" s="41" t="n"/>
      <c r="H530" s="41" t="n"/>
    </row>
    <row r="531" ht="25.8" customHeight="1">
      <c r="B531" s="41" t="n"/>
      <c r="C531" s="41" t="n"/>
      <c r="F531" s="41" t="n"/>
      <c r="H531" s="41" t="n"/>
    </row>
    <row r="532" ht="25.8" customHeight="1">
      <c r="B532" s="41" t="n"/>
      <c r="C532" s="41" t="n"/>
      <c r="F532" s="41" t="n"/>
      <c r="H532" s="41" t="n"/>
    </row>
    <row r="533" ht="25.8" customHeight="1">
      <c r="B533" s="41" t="n"/>
      <c r="C533" s="41" t="n"/>
      <c r="F533" s="41" t="n"/>
      <c r="H533" s="41" t="n"/>
    </row>
    <row r="534" ht="25.8" customHeight="1">
      <c r="B534" s="41" t="n"/>
      <c r="C534" s="41" t="n"/>
      <c r="F534" s="41" t="n"/>
      <c r="H534" s="41" t="n"/>
    </row>
    <row r="535" ht="25.8" customHeight="1">
      <c r="B535" s="41" t="n"/>
      <c r="C535" s="41" t="n"/>
      <c r="F535" s="41" t="n"/>
      <c r="H535" s="41" t="n"/>
    </row>
    <row r="536" ht="25.8" customHeight="1">
      <c r="B536" s="41" t="n"/>
      <c r="C536" s="41" t="n"/>
      <c r="F536" s="41" t="n"/>
      <c r="H536" s="41" t="n"/>
    </row>
    <row r="537" ht="25.8" customHeight="1">
      <c r="B537" s="41" t="n"/>
      <c r="C537" s="41" t="n"/>
      <c r="F537" s="41" t="n"/>
      <c r="H537" s="41" t="n"/>
    </row>
    <row r="538" ht="25.8" customHeight="1">
      <c r="B538" s="41" t="n"/>
      <c r="C538" s="41" t="n"/>
      <c r="F538" s="41" t="n"/>
      <c r="H538" s="41" t="n"/>
    </row>
    <row r="539" ht="25.8" customHeight="1">
      <c r="B539" s="41" t="n"/>
      <c r="C539" s="41" t="n"/>
      <c r="F539" s="41" t="n"/>
      <c r="H539" s="41" t="n"/>
    </row>
    <row r="540" ht="25.8" customHeight="1">
      <c r="B540" s="41" t="n"/>
      <c r="C540" s="41" t="n"/>
      <c r="F540" s="41" t="n"/>
      <c r="H540" s="41" t="n"/>
    </row>
    <row r="541" ht="25.8" customHeight="1">
      <c r="B541" s="41" t="n"/>
      <c r="C541" s="41" t="n"/>
      <c r="F541" s="41" t="n"/>
      <c r="H541" s="41" t="n"/>
    </row>
    <row r="542" ht="25.8" customHeight="1">
      <c r="B542" s="41" t="n"/>
      <c r="C542" s="41" t="n"/>
      <c r="F542" s="41" t="n"/>
      <c r="H542" s="41" t="n"/>
    </row>
    <row r="543" ht="25.8" customHeight="1">
      <c r="B543" s="41" t="n"/>
      <c r="C543" s="41" t="n"/>
      <c r="F543" s="41" t="n"/>
      <c r="H543" s="41" t="n"/>
    </row>
    <row r="544" ht="25.8" customHeight="1">
      <c r="B544" s="41" t="n"/>
      <c r="C544" s="41" t="n"/>
      <c r="F544" s="41" t="n"/>
      <c r="H544" s="41" t="n"/>
    </row>
    <row r="545" ht="25.8" customHeight="1">
      <c r="B545" s="41" t="n"/>
      <c r="C545" s="41" t="n"/>
      <c r="F545" s="41" t="n"/>
      <c r="H545" s="41" t="n"/>
    </row>
    <row r="546" ht="25.8" customHeight="1">
      <c r="B546" s="41" t="n"/>
      <c r="C546" s="41" t="n"/>
      <c r="F546" s="41" t="n"/>
      <c r="H546" s="41" t="n"/>
    </row>
    <row r="547" ht="25.8" customHeight="1">
      <c r="B547" s="41" t="n"/>
      <c r="C547" s="41" t="n"/>
      <c r="F547" s="41" t="n"/>
      <c r="H547" s="41" t="n"/>
    </row>
    <row r="548" ht="25.8" customHeight="1">
      <c r="B548" s="41" t="n"/>
      <c r="C548" s="41" t="n"/>
      <c r="F548" s="41" t="n"/>
      <c r="H548" s="41" t="n"/>
    </row>
    <row r="549" ht="25.8" customHeight="1">
      <c r="B549" s="41" t="n"/>
      <c r="C549" s="41" t="n"/>
      <c r="F549" s="41" t="n"/>
      <c r="H549" s="41" t="n"/>
    </row>
    <row r="550" ht="25.8" customHeight="1">
      <c r="B550" s="41" t="n"/>
      <c r="C550" s="41" t="n"/>
      <c r="F550" s="41" t="n"/>
      <c r="H550" s="41" t="n"/>
    </row>
    <row r="551" ht="25.8" customHeight="1">
      <c r="B551" s="41" t="n"/>
      <c r="C551" s="41" t="n"/>
      <c r="F551" s="41" t="n"/>
      <c r="H551" s="41" t="n"/>
    </row>
    <row r="552" ht="25.8" customHeight="1">
      <c r="B552" s="41" t="n"/>
      <c r="C552" s="41" t="n"/>
      <c r="F552" s="41" t="n"/>
      <c r="H552" s="41" t="n"/>
    </row>
    <row r="553" ht="25.8" customHeight="1">
      <c r="B553" s="41" t="n"/>
      <c r="C553" s="41" t="n"/>
      <c r="F553" s="41" t="n"/>
      <c r="H553" s="41" t="n"/>
    </row>
    <row r="554" ht="25.8" customHeight="1">
      <c r="B554" s="41" t="n"/>
      <c r="C554" s="41" t="n"/>
      <c r="F554" s="41" t="n"/>
      <c r="H554" s="41" t="n"/>
    </row>
    <row r="555" ht="25.8" customHeight="1">
      <c r="B555" s="41" t="n"/>
      <c r="C555" s="41" t="n"/>
      <c r="F555" s="41" t="n"/>
      <c r="H555" s="41" t="n"/>
    </row>
    <row r="556" ht="25.8" customHeight="1">
      <c r="B556" s="41" t="n"/>
      <c r="C556" s="41" t="n"/>
      <c r="F556" s="41" t="n"/>
      <c r="H556" s="41" t="n"/>
    </row>
    <row r="557" ht="25.8" customHeight="1">
      <c r="B557" s="41" t="n"/>
      <c r="C557" s="41" t="n"/>
      <c r="F557" s="41" t="n"/>
      <c r="H557" s="41" t="n"/>
    </row>
    <row r="558" ht="25.8" customHeight="1">
      <c r="B558" s="41" t="n"/>
      <c r="C558" s="41" t="n"/>
      <c r="F558" s="41" t="n"/>
      <c r="H558" s="41" t="n"/>
    </row>
    <row r="559" ht="25.8" customHeight="1">
      <c r="B559" s="41" t="n"/>
      <c r="C559" s="41" t="n"/>
      <c r="F559" s="41" t="n"/>
      <c r="H559" s="41" t="n"/>
    </row>
    <row r="560" ht="25.8" customHeight="1">
      <c r="B560" s="41" t="n"/>
      <c r="C560" s="41" t="n"/>
      <c r="F560" s="41" t="n"/>
      <c r="H560" s="41" t="n"/>
    </row>
    <row r="561" ht="25.8" customHeight="1">
      <c r="B561" s="41" t="n"/>
      <c r="C561" s="41" t="n"/>
      <c r="F561" s="41" t="n"/>
      <c r="H561" s="41" t="n"/>
    </row>
    <row r="562" ht="25.8" customHeight="1">
      <c r="B562" s="41" t="n"/>
      <c r="C562" s="41" t="n"/>
      <c r="F562" s="41" t="n"/>
      <c r="H562" s="41" t="n"/>
    </row>
    <row r="563" ht="25.8" customHeight="1">
      <c r="B563" s="41" t="n"/>
      <c r="C563" s="41" t="n"/>
      <c r="F563" s="41" t="n"/>
      <c r="H563" s="41" t="n"/>
    </row>
    <row r="564" ht="25.8" customHeight="1">
      <c r="B564" s="41" t="n"/>
      <c r="C564" s="41" t="n"/>
      <c r="F564" s="41" t="n"/>
      <c r="H564" s="41" t="n"/>
    </row>
    <row r="565" ht="25.8" customHeight="1">
      <c r="B565" s="41" t="n"/>
      <c r="C565" s="41" t="n"/>
      <c r="F565" s="41" t="n"/>
      <c r="H565" s="41" t="n"/>
    </row>
    <row r="566" ht="25.8" customHeight="1">
      <c r="B566" s="41" t="n"/>
      <c r="C566" s="41" t="n"/>
      <c r="F566" s="41" t="n"/>
      <c r="H566" s="41" t="n"/>
    </row>
    <row r="567" ht="25.8" customHeight="1">
      <c r="B567" s="41" t="n"/>
      <c r="C567" s="41" t="n"/>
      <c r="F567" s="41" t="n"/>
      <c r="H567" s="41" t="n"/>
    </row>
    <row r="568" ht="25.8" customHeight="1">
      <c r="B568" s="41" t="n"/>
      <c r="C568" s="41" t="n"/>
      <c r="F568" s="41" t="n"/>
      <c r="H568" s="41" t="n"/>
    </row>
    <row r="569" ht="25.8" customHeight="1">
      <c r="B569" s="41" t="n"/>
      <c r="C569" s="41" t="n"/>
      <c r="F569" s="41" t="n"/>
      <c r="H569" s="41" t="n"/>
    </row>
    <row r="570" ht="25.8" customHeight="1">
      <c r="B570" s="41" t="n"/>
      <c r="C570" s="41" t="n"/>
      <c r="F570" s="41" t="n"/>
      <c r="H570" s="41" t="n"/>
    </row>
    <row r="571" ht="25.8" customHeight="1">
      <c r="B571" s="41" t="n"/>
      <c r="C571" s="41" t="n"/>
      <c r="F571" s="41" t="n"/>
      <c r="H571" s="41" t="n"/>
    </row>
    <row r="572" ht="25.8" customHeight="1">
      <c r="B572" s="41" t="n"/>
      <c r="C572" s="41" t="n"/>
      <c r="F572" s="41" t="n"/>
      <c r="H572" s="41" t="n"/>
    </row>
    <row r="573" ht="25.8" customHeight="1">
      <c r="B573" s="41" t="n"/>
      <c r="C573" s="41" t="n"/>
      <c r="F573" s="41" t="n"/>
      <c r="H573" s="41" t="n"/>
    </row>
    <row r="574" ht="25.8" customHeight="1">
      <c r="B574" s="41" t="n"/>
      <c r="C574" s="41" t="n"/>
      <c r="F574" s="41" t="n"/>
      <c r="H574" s="41" t="n"/>
    </row>
    <row r="575" ht="25.8" customHeight="1">
      <c r="B575" s="41" t="n"/>
      <c r="C575" s="41" t="n"/>
      <c r="F575" s="41" t="n"/>
      <c r="H575" s="41" t="n"/>
    </row>
    <row r="576" ht="25.8" customHeight="1">
      <c r="B576" s="41" t="n"/>
      <c r="C576" s="41" t="n"/>
      <c r="F576" s="41" t="n"/>
      <c r="H576" s="41" t="n"/>
    </row>
    <row r="577" ht="25.8" customHeight="1">
      <c r="B577" s="41" t="n"/>
      <c r="C577" s="41" t="n"/>
      <c r="F577" s="41" t="n"/>
      <c r="H577" s="41" t="n"/>
    </row>
    <row r="578" ht="25.8" customHeight="1">
      <c r="B578" s="41" t="n"/>
      <c r="C578" s="41" t="n"/>
      <c r="F578" s="41" t="n"/>
      <c r="H578" s="41" t="n"/>
    </row>
    <row r="579" ht="25.8" customHeight="1">
      <c r="B579" s="41" t="n"/>
      <c r="C579" s="41" t="n"/>
      <c r="F579" s="41" t="n"/>
      <c r="H579" s="41" t="n"/>
    </row>
    <row r="580" ht="25.8" customHeight="1">
      <c r="B580" s="41" t="n"/>
      <c r="C580" s="41" t="n"/>
      <c r="F580" s="41" t="n"/>
      <c r="H580" s="41" t="n"/>
    </row>
    <row r="581" ht="25.8" customHeight="1">
      <c r="B581" s="41" t="n"/>
      <c r="C581" s="41" t="n"/>
      <c r="F581" s="41" t="n"/>
      <c r="H581" s="41" t="n"/>
    </row>
    <row r="582" ht="25.8" customHeight="1">
      <c r="B582" s="41" t="n"/>
      <c r="C582" s="41" t="n"/>
      <c r="F582" s="41" t="n"/>
      <c r="H582" s="41" t="n"/>
    </row>
    <row r="583" ht="25.8" customHeight="1">
      <c r="B583" s="41" t="n"/>
      <c r="C583" s="41" t="n"/>
      <c r="F583" s="41" t="n"/>
      <c r="H583" s="41" t="n"/>
    </row>
    <row r="584" ht="25.8" customHeight="1">
      <c r="B584" s="41" t="n"/>
      <c r="C584" s="41" t="n"/>
      <c r="F584" s="41" t="n"/>
      <c r="H584" s="41" t="n"/>
    </row>
    <row r="585" ht="25.8" customHeight="1">
      <c r="B585" s="41" t="n"/>
      <c r="C585" s="41" t="n"/>
      <c r="F585" s="41" t="n"/>
      <c r="H585" s="41" t="n"/>
    </row>
    <row r="586" ht="25.8" customHeight="1">
      <c r="B586" s="41" t="n"/>
      <c r="C586" s="41" t="n"/>
      <c r="F586" s="41" t="n"/>
      <c r="H586" s="41" t="n"/>
    </row>
    <row r="587" ht="25.8" customHeight="1">
      <c r="B587" s="41" t="n"/>
      <c r="C587" s="41" t="n"/>
      <c r="F587" s="41" t="n"/>
      <c r="H587" s="41" t="n"/>
    </row>
    <row r="588" ht="25.8" customHeight="1">
      <c r="B588" s="41" t="n"/>
      <c r="C588" s="41" t="n"/>
      <c r="F588" s="41" t="n"/>
      <c r="H588" s="41" t="n"/>
    </row>
    <row r="589" ht="25.8" customHeight="1">
      <c r="B589" s="41" t="n"/>
      <c r="C589" s="41" t="n"/>
      <c r="F589" s="41" t="n"/>
      <c r="H589" s="41" t="n"/>
    </row>
    <row r="590" ht="25.8" customHeight="1">
      <c r="B590" s="41" t="n"/>
      <c r="C590" s="41" t="n"/>
      <c r="F590" s="41" t="n"/>
      <c r="H590" s="41" t="n"/>
    </row>
    <row r="591" ht="25.8" customHeight="1">
      <c r="B591" s="41" t="n"/>
      <c r="C591" s="41" t="n"/>
      <c r="F591" s="41" t="n"/>
      <c r="H591" s="41" t="n"/>
    </row>
    <row r="592" ht="25.8" customHeight="1">
      <c r="B592" s="41" t="n"/>
      <c r="C592" s="41" t="n"/>
      <c r="F592" s="41" t="n"/>
      <c r="H592" s="41" t="n"/>
    </row>
    <row r="593" ht="25.8" customHeight="1">
      <c r="B593" s="41" t="n"/>
      <c r="C593" s="41" t="n"/>
      <c r="F593" s="41" t="n"/>
      <c r="H593" s="41" t="n"/>
    </row>
    <row r="594" ht="25.8" customHeight="1">
      <c r="B594" s="41" t="n"/>
      <c r="C594" s="41" t="n"/>
      <c r="F594" s="41" t="n"/>
      <c r="H594" s="41" t="n"/>
    </row>
    <row r="595" ht="25.8" customHeight="1">
      <c r="B595" s="41" t="n"/>
      <c r="C595" s="41" t="n"/>
      <c r="F595" s="41" t="n"/>
      <c r="H595" s="41" t="n"/>
    </row>
    <row r="596" ht="25.8" customHeight="1">
      <c r="B596" s="41" t="n"/>
      <c r="C596" s="41" t="n"/>
      <c r="F596" s="41" t="n"/>
      <c r="H596" s="41" t="n"/>
    </row>
    <row r="597" ht="25.8" customHeight="1">
      <c r="B597" s="41" t="n"/>
      <c r="C597" s="41" t="n"/>
      <c r="F597" s="41" t="n"/>
      <c r="H597" s="41" t="n"/>
    </row>
    <row r="598" ht="25.8" customHeight="1">
      <c r="B598" s="41" t="n"/>
      <c r="C598" s="41" t="n"/>
      <c r="F598" s="41" t="n"/>
      <c r="H598" s="41" t="n"/>
    </row>
    <row r="599" ht="25.8" customHeight="1">
      <c r="B599" s="41" t="n"/>
      <c r="C599" s="41" t="n"/>
      <c r="F599" s="41" t="n"/>
      <c r="H599" s="41" t="n"/>
    </row>
    <row r="600" ht="25.8" customHeight="1">
      <c r="B600" s="41" t="n"/>
      <c r="C600" s="41" t="n"/>
      <c r="F600" s="41" t="n"/>
      <c r="H600" s="41" t="n"/>
    </row>
    <row r="601" ht="25.8" customHeight="1">
      <c r="B601" s="41" t="n"/>
      <c r="C601" s="41" t="n"/>
      <c r="F601" s="41" t="n"/>
      <c r="H601" s="41" t="n"/>
    </row>
    <row r="602" ht="25.8" customHeight="1">
      <c r="B602" s="41" t="n"/>
      <c r="C602" s="41" t="n"/>
      <c r="F602" s="41" t="n"/>
      <c r="H602" s="41" t="n"/>
    </row>
    <row r="603" ht="25.8" customHeight="1">
      <c r="B603" s="41" t="n"/>
      <c r="C603" s="41" t="n"/>
      <c r="F603" s="41" t="n"/>
      <c r="H603" s="41" t="n"/>
    </row>
    <row r="604" ht="25.8" customHeight="1">
      <c r="B604" s="41" t="n"/>
      <c r="C604" s="41" t="n"/>
      <c r="F604" s="41" t="n"/>
      <c r="H604" s="41" t="n"/>
    </row>
    <row r="605" ht="25.8" customHeight="1">
      <c r="B605" s="41" t="n"/>
      <c r="C605" s="41" t="n"/>
      <c r="F605" s="41" t="n"/>
      <c r="H605" s="41" t="n"/>
    </row>
    <row r="606" ht="25.8" customHeight="1">
      <c r="B606" s="41" t="n"/>
      <c r="C606" s="41" t="n"/>
      <c r="F606" s="41" t="n"/>
      <c r="H606" s="41" t="n"/>
    </row>
    <row r="607" ht="25.8" customHeight="1">
      <c r="B607" s="41" t="n"/>
      <c r="C607" s="41" t="n"/>
      <c r="F607" s="41" t="n"/>
      <c r="H607" s="41" t="n"/>
    </row>
    <row r="608" ht="25.8" customHeight="1">
      <c r="B608" s="41" t="n"/>
      <c r="C608" s="41" t="n"/>
      <c r="F608" s="41" t="n"/>
      <c r="H608" s="41" t="n"/>
    </row>
    <row r="609" ht="25.8" customHeight="1">
      <c r="B609" s="41" t="n"/>
      <c r="C609" s="41" t="n"/>
      <c r="F609" s="41" t="n"/>
      <c r="H609" s="41" t="n"/>
    </row>
    <row r="610" ht="25.8" customHeight="1">
      <c r="B610" s="41" t="n"/>
      <c r="C610" s="41" t="n"/>
      <c r="F610" s="41" t="n"/>
      <c r="H610" s="41" t="n"/>
    </row>
    <row r="611" ht="25.8" customHeight="1">
      <c r="B611" s="41" t="n"/>
      <c r="C611" s="41" t="n"/>
      <c r="F611" s="41" t="n"/>
      <c r="H611" s="41" t="n"/>
    </row>
    <row r="612" ht="25.8" customHeight="1">
      <c r="B612" s="41" t="n"/>
      <c r="C612" s="41" t="n"/>
      <c r="F612" s="41" t="n"/>
      <c r="H612" s="41" t="n"/>
    </row>
    <row r="613" ht="25.8" customHeight="1">
      <c r="B613" s="41" t="n"/>
      <c r="C613" s="41" t="n"/>
      <c r="F613" s="41" t="n"/>
      <c r="H613" s="41" t="n"/>
    </row>
    <row r="614" ht="25.8" customHeight="1">
      <c r="B614" s="41" t="n"/>
      <c r="C614" s="41" t="n"/>
      <c r="F614" s="41" t="n"/>
      <c r="H614" s="41" t="n"/>
    </row>
    <row r="615" ht="25.8" customHeight="1">
      <c r="B615" s="41" t="n"/>
      <c r="C615" s="41" t="n"/>
      <c r="F615" s="41" t="n"/>
      <c r="H615" s="41" t="n"/>
    </row>
    <row r="616" ht="25.8" customHeight="1">
      <c r="B616" s="41" t="n"/>
      <c r="C616" s="41" t="n"/>
      <c r="F616" s="41" t="n"/>
      <c r="H616" s="41" t="n"/>
    </row>
    <row r="617" ht="25.8" customHeight="1">
      <c r="B617" s="41" t="n"/>
      <c r="C617" s="41" t="n"/>
      <c r="F617" s="41" t="n"/>
      <c r="H617" s="41" t="n"/>
    </row>
    <row r="618" ht="25.8" customHeight="1">
      <c r="B618" s="41" t="n"/>
      <c r="C618" s="41" t="n"/>
      <c r="F618" s="41" t="n"/>
      <c r="H618" s="41" t="n"/>
    </row>
    <row r="619" ht="25.8" customHeight="1">
      <c r="B619" s="41" t="n"/>
      <c r="C619" s="41" t="n"/>
      <c r="F619" s="41" t="n"/>
      <c r="H619" s="41" t="n"/>
    </row>
    <row r="620" ht="25.8" customHeight="1">
      <c r="B620" s="41" t="n"/>
      <c r="C620" s="41" t="n"/>
      <c r="F620" s="41" t="n"/>
      <c r="H620" s="41" t="n"/>
    </row>
    <row r="621" ht="25.8" customHeight="1">
      <c r="B621" s="41" t="n"/>
      <c r="C621" s="41" t="n"/>
      <c r="F621" s="41" t="n"/>
      <c r="H621" s="41" t="n"/>
    </row>
    <row r="622" ht="25.8" customHeight="1">
      <c r="B622" s="41" t="n"/>
      <c r="C622" s="41" t="n"/>
      <c r="F622" s="41" t="n"/>
      <c r="H622" s="41" t="n"/>
    </row>
    <row r="623" ht="25.8" customHeight="1">
      <c r="B623" s="41" t="n"/>
      <c r="C623" s="41" t="n"/>
      <c r="F623" s="41" t="n"/>
      <c r="H623" s="41" t="n"/>
    </row>
    <row r="624" ht="25.8" customHeight="1">
      <c r="B624" s="41" t="n"/>
      <c r="C624" s="41" t="n"/>
      <c r="F624" s="41" t="n"/>
      <c r="H624" s="41" t="n"/>
    </row>
    <row r="625" ht="25.8" customHeight="1">
      <c r="B625" s="41" t="n"/>
      <c r="C625" s="41" t="n"/>
      <c r="F625" s="41" t="n"/>
      <c r="H625" s="41" t="n"/>
    </row>
    <row r="626" ht="25.8" customHeight="1">
      <c r="B626" s="41" t="n"/>
      <c r="C626" s="41" t="n"/>
      <c r="F626" s="41" t="n"/>
      <c r="H626" s="41" t="n"/>
    </row>
    <row r="627" ht="25.8" customHeight="1">
      <c r="B627" s="41" t="n"/>
      <c r="C627" s="41" t="n"/>
      <c r="F627" s="41" t="n"/>
      <c r="H627" s="41" t="n"/>
    </row>
    <row r="628" ht="25.8" customHeight="1">
      <c r="B628" s="41" t="n"/>
      <c r="C628" s="41" t="n"/>
      <c r="F628" s="41" t="n"/>
      <c r="H628" s="41" t="n"/>
    </row>
    <row r="629" ht="25.8" customHeight="1">
      <c r="B629" s="41" t="n"/>
      <c r="C629" s="41" t="n"/>
      <c r="F629" s="41" t="n"/>
      <c r="H629" s="41" t="n"/>
    </row>
    <row r="630" ht="25.8" customHeight="1">
      <c r="B630" s="41" t="n"/>
      <c r="C630" s="41" t="n"/>
      <c r="F630" s="41" t="n"/>
      <c r="H630" s="41" t="n"/>
    </row>
    <row r="631" ht="25.8" customHeight="1">
      <c r="B631" s="41" t="n"/>
      <c r="C631" s="41" t="n"/>
      <c r="F631" s="41" t="n"/>
      <c r="H631" s="41" t="n"/>
    </row>
    <row r="632" ht="25.8" customHeight="1">
      <c r="B632" s="41" t="n"/>
      <c r="C632" s="41" t="n"/>
      <c r="F632" s="41" t="n"/>
      <c r="H632" s="41" t="n"/>
    </row>
    <row r="633" ht="25.8" customHeight="1">
      <c r="B633" s="41" t="n"/>
      <c r="C633" s="41" t="n"/>
      <c r="F633" s="41" t="n"/>
      <c r="H633" s="41" t="n"/>
    </row>
    <row r="634" ht="25.8" customHeight="1">
      <c r="B634" s="41" t="n"/>
      <c r="C634" s="41" t="n"/>
      <c r="F634" s="41" t="n"/>
      <c r="H634" s="41" t="n"/>
    </row>
    <row r="635" ht="25.8" customHeight="1">
      <c r="B635" s="41" t="n"/>
      <c r="C635" s="41" t="n"/>
      <c r="F635" s="41" t="n"/>
      <c r="H635" s="41" t="n"/>
    </row>
    <row r="636" ht="25.8" customHeight="1">
      <c r="B636" s="41" t="n"/>
      <c r="C636" s="41" t="n"/>
      <c r="F636" s="41" t="n"/>
      <c r="H636" s="41" t="n"/>
    </row>
    <row r="637" ht="25.8" customHeight="1">
      <c r="B637" s="41" t="n"/>
      <c r="C637" s="41" t="n"/>
      <c r="F637" s="41" t="n"/>
      <c r="H637" s="41" t="n"/>
    </row>
    <row r="638" ht="25.8" customHeight="1">
      <c r="B638" s="41" t="n"/>
      <c r="C638" s="41" t="n"/>
      <c r="F638" s="41" t="n"/>
      <c r="H638" s="41" t="n"/>
    </row>
    <row r="639" ht="25.8" customHeight="1">
      <c r="B639" s="41" t="n"/>
      <c r="C639" s="41" t="n"/>
      <c r="F639" s="41" t="n"/>
      <c r="H639" s="41" t="n"/>
    </row>
    <row r="640" ht="25.8" customHeight="1">
      <c r="B640" s="41" t="n"/>
      <c r="C640" s="41" t="n"/>
      <c r="F640" s="41" t="n"/>
      <c r="H640" s="41" t="n"/>
    </row>
    <row r="641" ht="25.8" customHeight="1">
      <c r="B641" s="41" t="n"/>
      <c r="C641" s="41" t="n"/>
      <c r="F641" s="41" t="n"/>
      <c r="H641" s="41" t="n"/>
    </row>
    <row r="642" ht="25.8" customHeight="1">
      <c r="B642" s="41" t="n"/>
      <c r="C642" s="41" t="n"/>
      <c r="F642" s="41" t="n"/>
      <c r="H642" s="41" t="n"/>
    </row>
    <row r="643" ht="25.8" customHeight="1">
      <c r="B643" s="41" t="n"/>
      <c r="C643" s="41" t="n"/>
      <c r="F643" s="41" t="n"/>
      <c r="H643" s="41" t="n"/>
    </row>
    <row r="644" ht="25.8" customHeight="1">
      <c r="B644" s="41" t="n"/>
      <c r="C644" s="41" t="n"/>
      <c r="F644" s="41" t="n"/>
      <c r="H644" s="41" t="n"/>
    </row>
    <row r="645" ht="25.8" customHeight="1">
      <c r="B645" s="41" t="n"/>
      <c r="C645" s="41" t="n"/>
      <c r="F645" s="41" t="n"/>
      <c r="H645" s="41" t="n"/>
    </row>
    <row r="646" ht="25.8" customHeight="1">
      <c r="B646" s="41" t="n"/>
      <c r="C646" s="41" t="n"/>
      <c r="F646" s="41" t="n"/>
      <c r="H646" s="41" t="n"/>
    </row>
    <row r="647" ht="25.8" customHeight="1">
      <c r="B647" s="41" t="n"/>
      <c r="C647" s="41" t="n"/>
      <c r="F647" s="41" t="n"/>
      <c r="H647" s="41" t="n"/>
    </row>
    <row r="648" ht="25.8" customHeight="1">
      <c r="B648" s="41" t="n"/>
      <c r="C648" s="41" t="n"/>
      <c r="F648" s="41" t="n"/>
      <c r="H648" s="41" t="n"/>
    </row>
    <row r="649" ht="25.8" customHeight="1">
      <c r="B649" s="41" t="n"/>
      <c r="C649" s="41" t="n"/>
      <c r="F649" s="41" t="n"/>
      <c r="H649" s="41" t="n"/>
    </row>
    <row r="650" ht="25.8" customHeight="1">
      <c r="B650" s="41" t="n"/>
      <c r="C650" s="41" t="n"/>
      <c r="F650" s="41" t="n"/>
      <c r="H650" s="41" t="n"/>
    </row>
    <row r="651" ht="25.8" customHeight="1">
      <c r="B651" s="41" t="n"/>
      <c r="C651" s="41" t="n"/>
      <c r="F651" s="41" t="n"/>
      <c r="H651" s="41" t="n"/>
    </row>
    <row r="652" ht="25.8" customHeight="1">
      <c r="B652" s="41" t="n"/>
      <c r="C652" s="41" t="n"/>
      <c r="F652" s="41" t="n"/>
      <c r="H652" s="41" t="n"/>
    </row>
    <row r="653" ht="25.8" customHeight="1">
      <c r="B653" s="41" t="n"/>
      <c r="C653" s="41" t="n"/>
      <c r="F653" s="41" t="n"/>
      <c r="H653" s="41" t="n"/>
    </row>
    <row r="654" ht="25.8" customHeight="1">
      <c r="B654" s="41" t="n"/>
      <c r="C654" s="41" t="n"/>
      <c r="F654" s="41" t="n"/>
      <c r="H654" s="41" t="n"/>
    </row>
    <row r="655" ht="25.8" customHeight="1">
      <c r="B655" s="41" t="n"/>
      <c r="C655" s="41" t="n"/>
      <c r="F655" s="41" t="n"/>
      <c r="H655" s="41" t="n"/>
    </row>
    <row r="656" ht="25.8" customHeight="1">
      <c r="B656" s="41" t="n"/>
      <c r="C656" s="41" t="n"/>
      <c r="F656" s="41" t="n"/>
      <c r="H656" s="41" t="n"/>
    </row>
    <row r="657" ht="25.8" customHeight="1">
      <c r="B657" s="41" t="n"/>
      <c r="C657" s="41" t="n"/>
      <c r="F657" s="41" t="n"/>
      <c r="H657" s="41" t="n"/>
    </row>
    <row r="658" ht="25.8" customHeight="1">
      <c r="B658" s="41" t="n"/>
      <c r="C658" s="41" t="n"/>
      <c r="F658" s="41" t="n"/>
      <c r="H658" s="41" t="n"/>
    </row>
    <row r="659" ht="25.8" customHeight="1">
      <c r="B659" s="41" t="n"/>
      <c r="C659" s="41" t="n"/>
      <c r="F659" s="41" t="n"/>
      <c r="H659" s="41" t="n"/>
    </row>
    <row r="660" ht="25.8" customHeight="1">
      <c r="B660" s="41" t="n"/>
      <c r="C660" s="41" t="n"/>
      <c r="F660" s="41" t="n"/>
      <c r="H660" s="41" t="n"/>
    </row>
    <row r="661" ht="25.8" customHeight="1">
      <c r="B661" s="41" t="n"/>
      <c r="C661" s="41" t="n"/>
      <c r="F661" s="41" t="n"/>
      <c r="H661" s="41" t="n"/>
    </row>
    <row r="662" ht="25.8" customHeight="1">
      <c r="B662" s="41" t="n"/>
      <c r="C662" s="41" t="n"/>
      <c r="F662" s="41" t="n"/>
      <c r="H662" s="41" t="n"/>
    </row>
    <row r="663" ht="25.8" customHeight="1">
      <c r="B663" s="41" t="n"/>
      <c r="C663" s="41" t="n"/>
      <c r="F663" s="41" t="n"/>
      <c r="H663" s="41" t="n"/>
    </row>
    <row r="664" ht="25.8" customHeight="1">
      <c r="B664" s="41" t="n"/>
      <c r="C664" s="41" t="n"/>
      <c r="F664" s="41" t="n"/>
      <c r="H664" s="41" t="n"/>
    </row>
    <row r="665" ht="25.8" customHeight="1">
      <c r="B665" s="41" t="n"/>
      <c r="C665" s="41" t="n"/>
      <c r="F665" s="41" t="n"/>
      <c r="H665" s="41" t="n"/>
    </row>
    <row r="666" ht="25.8" customHeight="1">
      <c r="B666" s="41" t="n"/>
      <c r="C666" s="41" t="n"/>
      <c r="F666" s="41" t="n"/>
      <c r="H666" s="41" t="n"/>
    </row>
    <row r="667" ht="25.8" customHeight="1">
      <c r="B667" s="41" t="n"/>
      <c r="C667" s="41" t="n"/>
      <c r="F667" s="41" t="n"/>
      <c r="H667" s="41" t="n"/>
    </row>
    <row r="668" ht="25.8" customHeight="1">
      <c r="B668" s="41" t="n"/>
      <c r="C668" s="41" t="n"/>
      <c r="F668" s="41" t="n"/>
      <c r="H668" s="41" t="n"/>
    </row>
    <row r="669" ht="25.8" customHeight="1">
      <c r="B669" s="41" t="n"/>
      <c r="C669" s="41" t="n"/>
      <c r="F669" s="41" t="n"/>
      <c r="H669" s="41" t="n"/>
    </row>
    <row r="670" ht="25.8" customHeight="1">
      <c r="B670" s="41" t="n"/>
      <c r="C670" s="41" t="n"/>
      <c r="F670" s="41" t="n"/>
      <c r="H670" s="41" t="n"/>
    </row>
    <row r="671" ht="25.8" customHeight="1">
      <c r="B671" s="41" t="n"/>
      <c r="C671" s="41" t="n"/>
      <c r="F671" s="41" t="n"/>
      <c r="H671" s="41" t="n"/>
    </row>
    <row r="672" ht="25.8" customHeight="1">
      <c r="B672" s="41" t="n"/>
      <c r="C672" s="41" t="n"/>
      <c r="F672" s="41" t="n"/>
      <c r="H672" s="41" t="n"/>
    </row>
    <row r="673" ht="25.8" customHeight="1">
      <c r="B673" s="41" t="n"/>
      <c r="C673" s="41" t="n"/>
      <c r="F673" s="41" t="n"/>
      <c r="H673" s="41" t="n"/>
    </row>
    <row r="674" ht="25.8" customHeight="1">
      <c r="B674" s="41" t="n"/>
      <c r="C674" s="41" t="n"/>
      <c r="F674" s="41" t="n"/>
      <c r="H674" s="41" t="n"/>
    </row>
    <row r="675" ht="25.8" customHeight="1">
      <c r="B675" s="41" t="n"/>
      <c r="C675" s="41" t="n"/>
      <c r="F675" s="41" t="n"/>
      <c r="H675" s="41" t="n"/>
    </row>
    <row r="676" ht="25.8" customHeight="1">
      <c r="B676" s="41" t="n"/>
      <c r="C676" s="41" t="n"/>
      <c r="F676" s="41" t="n"/>
      <c r="H676" s="41" t="n"/>
    </row>
    <row r="677" ht="25.8" customHeight="1">
      <c r="B677" s="41" t="n"/>
      <c r="C677" s="41" t="n"/>
      <c r="F677" s="41" t="n"/>
      <c r="H677" s="41" t="n"/>
    </row>
    <row r="678" ht="25.8" customHeight="1">
      <c r="B678" s="41" t="n"/>
      <c r="C678" s="41" t="n"/>
      <c r="F678" s="41" t="n"/>
      <c r="H678" s="41" t="n"/>
    </row>
    <row r="679" ht="25.8" customHeight="1">
      <c r="B679" s="41" t="n"/>
      <c r="C679" s="41" t="n"/>
      <c r="F679" s="41" t="n"/>
      <c r="H679" s="41" t="n"/>
    </row>
    <row r="680" ht="25.8" customHeight="1">
      <c r="B680" s="41" t="n"/>
      <c r="C680" s="41" t="n"/>
      <c r="F680" s="41" t="n"/>
      <c r="H680" s="41" t="n"/>
    </row>
    <row r="681" ht="25.8" customHeight="1">
      <c r="B681" s="41" t="n"/>
      <c r="C681" s="41" t="n"/>
      <c r="F681" s="41" t="n"/>
      <c r="H681" s="41" t="n"/>
    </row>
    <row r="682" ht="25.8" customHeight="1">
      <c r="B682" s="41" t="n"/>
      <c r="C682" s="41" t="n"/>
      <c r="F682" s="41" t="n"/>
      <c r="H682" s="41" t="n"/>
    </row>
    <row r="683" ht="25.8" customHeight="1">
      <c r="B683" s="41" t="n"/>
      <c r="C683" s="41" t="n"/>
      <c r="F683" s="41" t="n"/>
      <c r="H683" s="41" t="n"/>
    </row>
    <row r="684" ht="25.8" customHeight="1">
      <c r="B684" s="41" t="n"/>
      <c r="C684" s="41" t="n"/>
      <c r="F684" s="41" t="n"/>
      <c r="H684" s="41" t="n"/>
    </row>
    <row r="685" ht="25.8" customHeight="1">
      <c r="B685" s="41" t="n"/>
      <c r="C685" s="41" t="n"/>
      <c r="F685" s="41" t="n"/>
      <c r="H685" s="41" t="n"/>
    </row>
    <row r="686" ht="25.8" customHeight="1">
      <c r="B686" s="41" t="n"/>
      <c r="C686" s="41" t="n"/>
      <c r="F686" s="41" t="n"/>
      <c r="H686" s="41" t="n"/>
    </row>
    <row r="687" ht="25.8" customHeight="1">
      <c r="B687" s="41" t="n"/>
      <c r="C687" s="41" t="n"/>
      <c r="F687" s="41" t="n"/>
      <c r="H687" s="41" t="n"/>
    </row>
    <row r="688" ht="25.8" customHeight="1">
      <c r="B688" s="41" t="n"/>
      <c r="C688" s="41" t="n"/>
      <c r="F688" s="41" t="n"/>
      <c r="H688" s="41" t="n"/>
    </row>
    <row r="689" ht="25.8" customHeight="1">
      <c r="B689" s="41" t="n"/>
      <c r="C689" s="41" t="n"/>
      <c r="F689" s="41" t="n"/>
      <c r="H689" s="41" t="n"/>
    </row>
    <row r="690" ht="25.8" customHeight="1">
      <c r="B690" s="41" t="n"/>
      <c r="C690" s="41" t="n"/>
      <c r="F690" s="41" t="n"/>
      <c r="H690" s="41" t="n"/>
    </row>
    <row r="691" ht="25.8" customHeight="1">
      <c r="B691" s="41" t="n"/>
      <c r="C691" s="41" t="n"/>
      <c r="F691" s="41" t="n"/>
      <c r="H691" s="41" t="n"/>
    </row>
    <row r="692" ht="25.8" customHeight="1">
      <c r="B692" s="41" t="n"/>
      <c r="C692" s="41" t="n"/>
      <c r="F692" s="41" t="n"/>
      <c r="H692" s="41" t="n"/>
    </row>
    <row r="693" ht="25.8" customHeight="1">
      <c r="B693" s="41" t="n"/>
      <c r="C693" s="41" t="n"/>
      <c r="F693" s="41" t="n"/>
      <c r="H693" s="41" t="n"/>
    </row>
    <row r="694" ht="25.8" customHeight="1">
      <c r="B694" s="41" t="n"/>
      <c r="C694" s="41" t="n"/>
      <c r="F694" s="41" t="n"/>
      <c r="H694" s="41" t="n"/>
    </row>
    <row r="695" ht="25.8" customHeight="1">
      <c r="B695" s="41" t="n"/>
      <c r="C695" s="41" t="n"/>
      <c r="F695" s="41" t="n"/>
      <c r="H695" s="41" t="n"/>
    </row>
    <row r="696" ht="25.8" customHeight="1">
      <c r="B696" s="41" t="n"/>
      <c r="C696" s="41" t="n"/>
      <c r="F696" s="41" t="n"/>
      <c r="H696" s="41" t="n"/>
    </row>
    <row r="697" ht="25.8" customHeight="1">
      <c r="B697" s="41" t="n"/>
      <c r="C697" s="41" t="n"/>
      <c r="F697" s="41" t="n"/>
      <c r="H697" s="41" t="n"/>
    </row>
    <row r="698" ht="25.8" customHeight="1">
      <c r="B698" s="41" t="n"/>
      <c r="C698" s="41" t="n"/>
      <c r="F698" s="41" t="n"/>
      <c r="H698" s="41" t="n"/>
    </row>
    <row r="699" ht="25.8" customHeight="1">
      <c r="B699" s="41" t="n"/>
      <c r="C699" s="41" t="n"/>
      <c r="F699" s="41" t="n"/>
      <c r="H699" s="41" t="n"/>
    </row>
    <row r="700" ht="25.8" customHeight="1">
      <c r="B700" s="41" t="n"/>
      <c r="C700" s="41" t="n"/>
      <c r="F700" s="41" t="n"/>
      <c r="H700" s="41" t="n"/>
    </row>
    <row r="701" ht="25.8" customHeight="1">
      <c r="B701" s="41" t="n"/>
      <c r="C701" s="41" t="n"/>
      <c r="F701" s="41" t="n"/>
      <c r="H701" s="41" t="n"/>
    </row>
    <row r="702" ht="25.8" customHeight="1">
      <c r="B702" s="41" t="n"/>
      <c r="C702" s="41" t="n"/>
      <c r="F702" s="41" t="n"/>
      <c r="H702" s="41" t="n"/>
    </row>
    <row r="703" ht="25.8" customHeight="1">
      <c r="B703" s="41" t="n"/>
      <c r="C703" s="41" t="n"/>
      <c r="F703" s="41" t="n"/>
      <c r="H703" s="41" t="n"/>
    </row>
    <row r="704" ht="25.8" customHeight="1">
      <c r="B704" s="41" t="n"/>
      <c r="C704" s="41" t="n"/>
      <c r="F704" s="41" t="n"/>
      <c r="H704" s="41" t="n"/>
    </row>
    <row r="705" ht="25.8" customHeight="1">
      <c r="B705" s="41" t="n"/>
      <c r="C705" s="41" t="n"/>
      <c r="F705" s="41" t="n"/>
      <c r="H705" s="41" t="n"/>
    </row>
    <row r="706" ht="25.8" customHeight="1">
      <c r="B706" s="41" t="n"/>
      <c r="C706" s="41" t="n"/>
      <c r="F706" s="41" t="n"/>
      <c r="H706" s="41" t="n"/>
    </row>
    <row r="707" ht="25.8" customHeight="1">
      <c r="B707" s="41" t="n"/>
      <c r="C707" s="41" t="n"/>
      <c r="F707" s="41" t="n"/>
      <c r="H707" s="41" t="n"/>
    </row>
    <row r="708" ht="25.8" customHeight="1">
      <c r="B708" s="41" t="n"/>
      <c r="C708" s="41" t="n"/>
      <c r="F708" s="41" t="n"/>
      <c r="H708" s="41" t="n"/>
    </row>
    <row r="709" ht="25.8" customHeight="1">
      <c r="B709" s="41" t="n"/>
      <c r="C709" s="41" t="n"/>
      <c r="F709" s="41" t="n"/>
      <c r="H709" s="41" t="n"/>
    </row>
    <row r="710" ht="25.8" customHeight="1">
      <c r="B710" s="41" t="n"/>
      <c r="C710" s="41" t="n"/>
      <c r="F710" s="41" t="n"/>
      <c r="H710" s="41" t="n"/>
    </row>
    <row r="711" ht="25.8" customHeight="1">
      <c r="B711" s="41" t="n"/>
      <c r="C711" s="41" t="n"/>
      <c r="F711" s="41" t="n"/>
      <c r="H711" s="41" t="n"/>
    </row>
    <row r="712" ht="25.8" customHeight="1">
      <c r="B712" s="41" t="n"/>
      <c r="C712" s="41" t="n"/>
      <c r="F712" s="41" t="n"/>
      <c r="H712" s="41" t="n"/>
    </row>
    <row r="713" ht="25.8" customHeight="1">
      <c r="B713" s="41" t="n"/>
      <c r="C713" s="41" t="n"/>
      <c r="F713" s="41" t="n"/>
      <c r="H713" s="41" t="n"/>
    </row>
    <row r="714" ht="25.8" customHeight="1">
      <c r="B714" s="41" t="n"/>
      <c r="C714" s="41" t="n"/>
      <c r="F714" s="41" t="n"/>
      <c r="H714" s="41" t="n"/>
    </row>
    <row r="715" ht="25.8" customHeight="1">
      <c r="B715" s="41" t="n"/>
      <c r="C715" s="41" t="n"/>
      <c r="F715" s="41" t="n"/>
      <c r="H715" s="41" t="n"/>
    </row>
    <row r="716" ht="25.8" customHeight="1">
      <c r="B716" s="41" t="n"/>
      <c r="C716" s="41" t="n"/>
      <c r="F716" s="41" t="n"/>
      <c r="H716" s="41" t="n"/>
    </row>
    <row r="717" ht="25.8" customHeight="1">
      <c r="B717" s="41" t="n"/>
      <c r="C717" s="41" t="n"/>
      <c r="F717" s="41" t="n"/>
      <c r="H717" s="41" t="n"/>
    </row>
    <row r="718" ht="25.8" customHeight="1">
      <c r="B718" s="41" t="n"/>
      <c r="C718" s="41" t="n"/>
      <c r="F718" s="41" t="n"/>
      <c r="H718" s="41" t="n"/>
    </row>
    <row r="719" ht="25.8" customHeight="1">
      <c r="B719" s="41" t="n"/>
      <c r="C719" s="41" t="n"/>
      <c r="F719" s="41" t="n"/>
      <c r="H719" s="41" t="n"/>
    </row>
    <row r="720" ht="25.8" customHeight="1">
      <c r="B720" s="41" t="n"/>
      <c r="C720" s="41" t="n"/>
      <c r="F720" s="41" t="n"/>
      <c r="H720" s="41" t="n"/>
    </row>
    <row r="721" ht="25.8" customHeight="1">
      <c r="B721" s="41" t="n"/>
      <c r="C721" s="41" t="n"/>
      <c r="F721" s="41" t="n"/>
      <c r="H721" s="41" t="n"/>
    </row>
    <row r="722" ht="25.8" customHeight="1">
      <c r="B722" s="41" t="n"/>
      <c r="C722" s="41" t="n"/>
      <c r="F722" s="41" t="n"/>
      <c r="H722" s="41" t="n"/>
    </row>
    <row r="723" ht="25.8" customHeight="1">
      <c r="B723" s="41" t="n"/>
      <c r="C723" s="41" t="n"/>
      <c r="F723" s="41" t="n"/>
      <c r="H723" s="41" t="n"/>
    </row>
    <row r="724" ht="25.8" customHeight="1">
      <c r="B724" s="41" t="n"/>
      <c r="C724" s="41" t="n"/>
      <c r="F724" s="41" t="n"/>
      <c r="H724" s="41" t="n"/>
    </row>
    <row r="725" ht="25.8" customHeight="1">
      <c r="B725" s="41" t="n"/>
      <c r="C725" s="41" t="n"/>
      <c r="F725" s="41" t="n"/>
      <c r="H725" s="41" t="n"/>
    </row>
    <row r="726" ht="25.8" customHeight="1">
      <c r="B726" s="41" t="n"/>
      <c r="C726" s="41" t="n"/>
      <c r="F726" s="41" t="n"/>
      <c r="H726" s="41" t="n"/>
    </row>
    <row r="727" ht="25.8" customHeight="1">
      <c r="B727" s="41" t="n"/>
      <c r="C727" s="41" t="n"/>
      <c r="F727" s="41" t="n"/>
      <c r="H727" s="41" t="n"/>
    </row>
    <row r="728" ht="25.8" customHeight="1">
      <c r="B728" s="41" t="n"/>
      <c r="C728" s="41" t="n"/>
      <c r="F728" s="41" t="n"/>
      <c r="H728" s="41" t="n"/>
    </row>
    <row r="729" ht="25.8" customHeight="1">
      <c r="B729" s="41" t="n"/>
      <c r="C729" s="41" t="n"/>
      <c r="F729" s="41" t="n"/>
      <c r="H729" s="41" t="n"/>
    </row>
    <row r="730" ht="25.8" customHeight="1">
      <c r="B730" s="41" t="n"/>
      <c r="C730" s="41" t="n"/>
      <c r="F730" s="41" t="n"/>
      <c r="H730" s="41" t="n"/>
    </row>
    <row r="731" ht="25.8" customHeight="1">
      <c r="B731" s="41" t="n"/>
      <c r="C731" s="41" t="n"/>
      <c r="F731" s="41" t="n"/>
      <c r="H731" s="41" t="n"/>
    </row>
    <row r="732" ht="25.8" customHeight="1">
      <c r="B732" s="41" t="n"/>
      <c r="C732" s="41" t="n"/>
      <c r="F732" s="41" t="n"/>
      <c r="H732" s="41" t="n"/>
    </row>
    <row r="733" ht="25.8" customHeight="1">
      <c r="B733" s="41" t="n"/>
      <c r="C733" s="41" t="n"/>
      <c r="F733" s="41" t="n"/>
      <c r="H733" s="41" t="n"/>
    </row>
    <row r="734" ht="25.8" customHeight="1">
      <c r="B734" s="41" t="n"/>
      <c r="C734" s="41" t="n"/>
      <c r="F734" s="41" t="n"/>
      <c r="H734" s="41" t="n"/>
    </row>
    <row r="735" ht="25.8" customHeight="1">
      <c r="B735" s="41" t="n"/>
      <c r="C735" s="41" t="n"/>
      <c r="F735" s="41" t="n"/>
      <c r="H735" s="41" t="n"/>
    </row>
    <row r="736" ht="25.8" customHeight="1">
      <c r="B736" s="41" t="n"/>
      <c r="C736" s="41" t="n"/>
      <c r="F736" s="41" t="n"/>
      <c r="H736" s="41" t="n"/>
    </row>
    <row r="737" ht="25.8" customHeight="1">
      <c r="B737" s="41" t="n"/>
      <c r="C737" s="41" t="n"/>
      <c r="F737" s="41" t="n"/>
      <c r="H737" s="41" t="n"/>
    </row>
    <row r="738" ht="25.8" customHeight="1">
      <c r="B738" s="41" t="n"/>
      <c r="C738" s="41" t="n"/>
      <c r="F738" s="41" t="n"/>
      <c r="H738" s="41" t="n"/>
    </row>
    <row r="739" ht="25.8" customHeight="1">
      <c r="B739" s="41" t="n"/>
      <c r="C739" s="41" t="n"/>
      <c r="F739" s="41" t="n"/>
      <c r="H739" s="41" t="n"/>
    </row>
    <row r="740" ht="25.8" customHeight="1">
      <c r="B740" s="41" t="n"/>
      <c r="C740" s="41" t="n"/>
      <c r="F740" s="41" t="n"/>
      <c r="H740" s="41" t="n"/>
    </row>
    <row r="741" ht="25.8" customHeight="1">
      <c r="B741" s="41" t="n"/>
      <c r="C741" s="41" t="n"/>
      <c r="F741" s="41" t="n"/>
      <c r="H741" s="41" t="n"/>
    </row>
    <row r="742" ht="25.8" customHeight="1">
      <c r="B742" s="41" t="n"/>
      <c r="C742" s="41" t="n"/>
      <c r="F742" s="41" t="n"/>
      <c r="H742" s="41" t="n"/>
    </row>
    <row r="743" ht="25.8" customHeight="1">
      <c r="B743" s="41" t="n"/>
      <c r="C743" s="41" t="n"/>
      <c r="F743" s="41" t="n"/>
      <c r="H743" s="41" t="n"/>
    </row>
    <row r="744" ht="25.8" customHeight="1">
      <c r="B744" s="41" t="n"/>
      <c r="C744" s="41" t="n"/>
      <c r="F744" s="41" t="n"/>
      <c r="H744" s="41" t="n"/>
    </row>
    <row r="745" ht="25.8" customHeight="1">
      <c r="B745" s="41" t="n"/>
      <c r="C745" s="41" t="n"/>
      <c r="F745" s="41" t="n"/>
      <c r="H745" s="41" t="n"/>
    </row>
    <row r="746" ht="25.8" customHeight="1">
      <c r="B746" s="41" t="n"/>
      <c r="C746" s="41" t="n"/>
      <c r="F746" s="41" t="n"/>
      <c r="H746" s="41" t="n"/>
    </row>
    <row r="747" ht="25.8" customHeight="1">
      <c r="B747" s="41" t="n"/>
      <c r="C747" s="41" t="n"/>
      <c r="F747" s="41" t="n"/>
      <c r="H747" s="41" t="n"/>
    </row>
    <row r="748" ht="25.8" customHeight="1">
      <c r="B748" s="41" t="n"/>
      <c r="C748" s="41" t="n"/>
      <c r="F748" s="41" t="n"/>
      <c r="H748" s="41" t="n"/>
    </row>
    <row r="749" ht="25.8" customHeight="1">
      <c r="B749" s="41" t="n"/>
      <c r="C749" s="41" t="n"/>
      <c r="F749" s="41" t="n"/>
      <c r="H749" s="41" t="n"/>
    </row>
    <row r="750" ht="25.8" customHeight="1">
      <c r="B750" s="41" t="n"/>
      <c r="C750" s="41" t="n"/>
      <c r="F750" s="41" t="n"/>
      <c r="H750" s="41" t="n"/>
    </row>
    <row r="751" ht="25.8" customHeight="1">
      <c r="B751" s="41" t="n"/>
      <c r="C751" s="41" t="n"/>
      <c r="F751" s="41" t="n"/>
      <c r="H751" s="41" t="n"/>
    </row>
    <row r="752" ht="25.8" customHeight="1">
      <c r="B752" s="41" t="n"/>
      <c r="C752" s="41" t="n"/>
      <c r="F752" s="41" t="n"/>
      <c r="H752" s="41" t="n"/>
    </row>
    <row r="753" ht="25.8" customHeight="1">
      <c r="B753" s="41" t="n"/>
      <c r="C753" s="41" t="n"/>
      <c r="F753" s="41" t="n"/>
      <c r="H753" s="41" t="n"/>
    </row>
    <row r="754" ht="25.8" customHeight="1">
      <c r="B754" s="41" t="n"/>
      <c r="C754" s="41" t="n"/>
      <c r="F754" s="41" t="n"/>
      <c r="H754" s="41" t="n"/>
    </row>
    <row r="755" ht="25.8" customHeight="1">
      <c r="B755" s="41" t="n"/>
      <c r="C755" s="41" t="n"/>
      <c r="F755" s="41" t="n"/>
      <c r="H755" s="41" t="n"/>
    </row>
    <row r="756" ht="25.8" customHeight="1">
      <c r="B756" s="41" t="n"/>
      <c r="C756" s="41" t="n"/>
      <c r="F756" s="41" t="n"/>
      <c r="H756" s="41" t="n"/>
    </row>
    <row r="757" ht="25.8" customHeight="1">
      <c r="B757" s="41" t="n"/>
      <c r="C757" s="41" t="n"/>
      <c r="F757" s="41" t="n"/>
      <c r="H757" s="41" t="n"/>
    </row>
    <row r="758" ht="25.8" customHeight="1">
      <c r="B758" s="41" t="n"/>
      <c r="C758" s="41" t="n"/>
      <c r="F758" s="41" t="n"/>
      <c r="H758" s="41" t="n"/>
    </row>
    <row r="759" ht="25.8" customHeight="1">
      <c r="B759" s="41" t="n"/>
      <c r="C759" s="41" t="n"/>
      <c r="F759" s="41" t="n"/>
      <c r="H759" s="41" t="n"/>
    </row>
    <row r="760" ht="25.8" customHeight="1">
      <c r="B760" s="41" t="n"/>
      <c r="C760" s="41" t="n"/>
      <c r="F760" s="41" t="n"/>
      <c r="H760" s="41" t="n"/>
    </row>
    <row r="761" ht="25.8" customHeight="1">
      <c r="B761" s="41" t="n"/>
      <c r="C761" s="41" t="n"/>
      <c r="F761" s="41" t="n"/>
      <c r="H761" s="41" t="n"/>
    </row>
    <row r="762" ht="25.8" customHeight="1">
      <c r="B762" s="41" t="n"/>
      <c r="C762" s="41" t="n"/>
      <c r="F762" s="41" t="n"/>
      <c r="H762" s="41" t="n"/>
    </row>
    <row r="763" ht="25.8" customHeight="1">
      <c r="B763" s="41" t="n"/>
      <c r="C763" s="41" t="n"/>
      <c r="F763" s="41" t="n"/>
      <c r="H763" s="41" t="n"/>
    </row>
    <row r="764" ht="25.8" customHeight="1">
      <c r="B764" s="41" t="n"/>
      <c r="C764" s="41" t="n"/>
      <c r="F764" s="41" t="n"/>
      <c r="H764" s="41" t="n"/>
    </row>
    <row r="765" ht="25.8" customHeight="1">
      <c r="B765" s="41" t="n"/>
      <c r="C765" s="41" t="n"/>
      <c r="F765" s="41" t="n"/>
      <c r="H765" s="41" t="n"/>
    </row>
    <row r="766" ht="25.8" customHeight="1">
      <c r="B766" s="41" t="n"/>
      <c r="C766" s="41" t="n"/>
      <c r="F766" s="41" t="n"/>
      <c r="H766" s="41" t="n"/>
    </row>
    <row r="767" ht="25.8" customHeight="1">
      <c r="B767" s="41" t="n"/>
      <c r="C767" s="41" t="n"/>
      <c r="F767" s="41" t="n"/>
      <c r="H767" s="41" t="n"/>
    </row>
    <row r="768" ht="25.8" customHeight="1">
      <c r="B768" s="41" t="n"/>
      <c r="C768" s="41" t="n"/>
      <c r="F768" s="41" t="n"/>
      <c r="H768" s="41" t="n"/>
    </row>
    <row r="769" ht="25.8" customHeight="1">
      <c r="B769" s="41" t="n"/>
      <c r="C769" s="41" t="n"/>
      <c r="F769" s="41" t="n"/>
      <c r="H769" s="41" t="n"/>
    </row>
    <row r="770" ht="25.8" customHeight="1">
      <c r="B770" s="41" t="n"/>
      <c r="C770" s="41" t="n"/>
      <c r="F770" s="41" t="n"/>
      <c r="H770" s="41" t="n"/>
    </row>
    <row r="771" ht="25.8" customHeight="1">
      <c r="B771" s="41" t="n"/>
      <c r="C771" s="41" t="n"/>
      <c r="F771" s="41" t="n"/>
      <c r="H771" s="41" t="n"/>
    </row>
    <row r="772" ht="25.8" customHeight="1">
      <c r="B772" s="41" t="n"/>
      <c r="C772" s="41" t="n"/>
      <c r="F772" s="41" t="n"/>
      <c r="H772" s="41" t="n"/>
    </row>
    <row r="773" ht="25.8" customHeight="1">
      <c r="B773" s="41" t="n"/>
      <c r="C773" s="41" t="n"/>
      <c r="F773" s="41" t="n"/>
      <c r="H773" s="41" t="n"/>
    </row>
    <row r="774" ht="25.8" customHeight="1">
      <c r="B774" s="41" t="n"/>
      <c r="C774" s="41" t="n"/>
      <c r="F774" s="41" t="n"/>
      <c r="H774" s="41" t="n"/>
    </row>
    <row r="775" ht="25.8" customHeight="1">
      <c r="B775" s="41" t="n"/>
      <c r="C775" s="41" t="n"/>
      <c r="F775" s="41" t="n"/>
      <c r="H775" s="41" t="n"/>
    </row>
    <row r="776" ht="25.8" customHeight="1">
      <c r="B776" s="41" t="n"/>
      <c r="C776" s="41" t="n"/>
      <c r="F776" s="41" t="n"/>
      <c r="H776" s="41" t="n"/>
    </row>
    <row r="777" ht="25.8" customHeight="1">
      <c r="B777" s="41" t="n"/>
      <c r="C777" s="41" t="n"/>
      <c r="F777" s="41" t="n"/>
      <c r="H777" s="41" t="n"/>
    </row>
    <row r="778" ht="25.8" customHeight="1">
      <c r="B778" s="41" t="n"/>
      <c r="C778" s="41" t="n"/>
      <c r="F778" s="41" t="n"/>
      <c r="H778" s="41" t="n"/>
    </row>
    <row r="779" ht="25.8" customHeight="1">
      <c r="B779" s="41" t="n"/>
      <c r="C779" s="41" t="n"/>
      <c r="F779" s="41" t="n"/>
      <c r="H779" s="41" t="n"/>
    </row>
    <row r="780" ht="25.8" customHeight="1">
      <c r="B780" s="41" t="n"/>
      <c r="C780" s="41" t="n"/>
      <c r="F780" s="41" t="n"/>
      <c r="H780" s="41" t="n"/>
    </row>
    <row r="781" ht="25.8" customHeight="1">
      <c r="B781" s="41" t="n"/>
      <c r="C781" s="41" t="n"/>
      <c r="F781" s="41" t="n"/>
      <c r="H781" s="41" t="n"/>
    </row>
    <row r="782" ht="25.8" customHeight="1">
      <c r="B782" s="41" t="n"/>
      <c r="C782" s="41" t="n"/>
      <c r="F782" s="41" t="n"/>
      <c r="H782" s="41" t="n"/>
    </row>
    <row r="783" ht="25.8" customHeight="1">
      <c r="B783" s="41" t="n"/>
      <c r="C783" s="41" t="n"/>
      <c r="F783" s="41" t="n"/>
      <c r="H783" s="41" t="n"/>
    </row>
    <row r="784" ht="25.8" customHeight="1">
      <c r="B784" s="41" t="n"/>
      <c r="C784" s="41" t="n"/>
      <c r="F784" s="41" t="n"/>
      <c r="H784" s="41" t="n"/>
    </row>
    <row r="785" ht="25.8" customHeight="1">
      <c r="B785" s="41" t="n"/>
      <c r="C785" s="41" t="n"/>
      <c r="F785" s="41" t="n"/>
      <c r="H785" s="41" t="n"/>
    </row>
    <row r="786" ht="25.8" customHeight="1">
      <c r="B786" s="41" t="n"/>
      <c r="C786" s="41" t="n"/>
      <c r="F786" s="41" t="n"/>
      <c r="H786" s="41" t="n"/>
    </row>
    <row r="787" ht="25.8" customHeight="1">
      <c r="B787" s="41" t="n"/>
      <c r="C787" s="41" t="n"/>
      <c r="F787" s="41" t="n"/>
      <c r="H787" s="41" t="n"/>
    </row>
    <row r="788" ht="25.8" customHeight="1">
      <c r="B788" s="41" t="n"/>
      <c r="C788" s="41" t="n"/>
      <c r="F788" s="41" t="n"/>
      <c r="H788" s="41" t="n"/>
    </row>
    <row r="789" ht="25.8" customHeight="1">
      <c r="B789" s="41" t="n"/>
      <c r="C789" s="41" t="n"/>
      <c r="F789" s="41" t="n"/>
      <c r="H789" s="41" t="n"/>
    </row>
    <row r="790" ht="25.8" customHeight="1">
      <c r="B790" s="41" t="n"/>
      <c r="C790" s="41" t="n"/>
      <c r="F790" s="41" t="n"/>
      <c r="H790" s="41" t="n"/>
    </row>
    <row r="791" ht="25.8" customHeight="1">
      <c r="B791" s="41" t="n"/>
      <c r="C791" s="41" t="n"/>
      <c r="F791" s="41" t="n"/>
      <c r="H791" s="41" t="n"/>
    </row>
    <row r="792" ht="25.8" customHeight="1">
      <c r="B792" s="41" t="n"/>
      <c r="C792" s="41" t="n"/>
      <c r="F792" s="41" t="n"/>
      <c r="H792" s="41" t="n"/>
    </row>
    <row r="793" ht="25.8" customHeight="1">
      <c r="B793" s="41" t="n"/>
      <c r="C793" s="41" t="n"/>
      <c r="F793" s="41" t="n"/>
      <c r="H793" s="41" t="n"/>
    </row>
    <row r="794" ht="25.8" customHeight="1">
      <c r="B794" s="41" t="n"/>
      <c r="C794" s="41" t="n"/>
      <c r="F794" s="41" t="n"/>
      <c r="H794" s="41" t="n"/>
    </row>
    <row r="795" ht="25.8" customHeight="1">
      <c r="B795" s="41" t="n"/>
      <c r="C795" s="41" t="n"/>
      <c r="F795" s="41" t="n"/>
      <c r="H795" s="41" t="n"/>
    </row>
    <row r="796" ht="25.8" customHeight="1">
      <c r="B796" s="41" t="n"/>
      <c r="C796" s="41" t="n"/>
      <c r="F796" s="41" t="n"/>
      <c r="H796" s="41" t="n"/>
    </row>
    <row r="797" ht="25.8" customHeight="1">
      <c r="B797" s="41" t="n"/>
      <c r="C797" s="41" t="n"/>
      <c r="F797" s="41" t="n"/>
      <c r="H797" s="41" t="n"/>
    </row>
    <row r="798" ht="25.8" customHeight="1">
      <c r="B798" s="41" t="n"/>
      <c r="C798" s="41" t="n"/>
      <c r="F798" s="41" t="n"/>
      <c r="H798" s="41" t="n"/>
    </row>
    <row r="799" ht="25.8" customHeight="1">
      <c r="B799" s="41" t="n"/>
      <c r="C799" s="41" t="n"/>
      <c r="F799" s="41" t="n"/>
      <c r="H799" s="41" t="n"/>
    </row>
    <row r="800" ht="25.8" customHeight="1">
      <c r="B800" s="41" t="n"/>
      <c r="C800" s="41" t="n"/>
      <c r="F800" s="41" t="n"/>
      <c r="H800" s="41" t="n"/>
    </row>
    <row r="801" ht="25.8" customHeight="1">
      <c r="B801" s="41" t="n"/>
      <c r="C801" s="41" t="n"/>
      <c r="F801" s="41" t="n"/>
      <c r="H801" s="41" t="n"/>
    </row>
    <row r="802" ht="25.8" customHeight="1">
      <c r="B802" s="41" t="n"/>
      <c r="C802" s="41" t="n"/>
      <c r="F802" s="41" t="n"/>
      <c r="H802" s="41" t="n"/>
    </row>
    <row r="803" ht="25.8" customHeight="1">
      <c r="B803" s="41" t="n"/>
      <c r="C803" s="41" t="n"/>
      <c r="F803" s="41" t="n"/>
      <c r="H803" s="41" t="n"/>
    </row>
    <row r="804" ht="25.8" customHeight="1">
      <c r="B804" s="41" t="n"/>
      <c r="C804" s="41" t="n"/>
      <c r="F804" s="41" t="n"/>
      <c r="H804" s="41" t="n"/>
    </row>
    <row r="805" ht="25.8" customHeight="1">
      <c r="B805" s="41" t="n"/>
      <c r="C805" s="41" t="n"/>
      <c r="F805" s="41" t="n"/>
      <c r="H805" s="41" t="n"/>
    </row>
    <row r="806" ht="25.8" customHeight="1">
      <c r="B806" s="41" t="n"/>
      <c r="C806" s="41" t="n"/>
      <c r="F806" s="41" t="n"/>
      <c r="H806" s="41" t="n"/>
    </row>
    <row r="807" ht="25.8" customHeight="1">
      <c r="B807" s="41" t="n"/>
      <c r="C807" s="41" t="n"/>
      <c r="F807" s="41" t="n"/>
      <c r="H807" s="41" t="n"/>
    </row>
    <row r="808" ht="25.8" customHeight="1">
      <c r="B808" s="41" t="n"/>
      <c r="C808" s="41" t="n"/>
      <c r="F808" s="41" t="n"/>
      <c r="H808" s="41" t="n"/>
    </row>
    <row r="809" ht="25.8" customHeight="1">
      <c r="B809" s="41" t="n"/>
      <c r="C809" s="41" t="n"/>
      <c r="F809" s="41" t="n"/>
      <c r="H809" s="41" t="n"/>
    </row>
    <row r="810" ht="25.8" customHeight="1">
      <c r="B810" s="41" t="n"/>
      <c r="C810" s="41" t="n"/>
      <c r="F810" s="41" t="n"/>
      <c r="H810" s="41" t="n"/>
    </row>
    <row r="811" ht="25.8" customHeight="1">
      <c r="B811" s="41" t="n"/>
      <c r="C811" s="41" t="n"/>
      <c r="F811" s="41" t="n"/>
      <c r="H811" s="41" t="n"/>
    </row>
    <row r="812" ht="25.8" customHeight="1">
      <c r="B812" s="41" t="n"/>
      <c r="C812" s="41" t="n"/>
      <c r="F812" s="41" t="n"/>
      <c r="H812" s="41" t="n"/>
    </row>
    <row r="813" ht="25.8" customHeight="1">
      <c r="B813" s="41" t="n"/>
      <c r="C813" s="41" t="n"/>
      <c r="F813" s="41" t="n"/>
      <c r="H813" s="41" t="n"/>
    </row>
    <row r="814" ht="25.8" customHeight="1">
      <c r="B814" s="41" t="n"/>
      <c r="C814" s="41" t="n"/>
      <c r="F814" s="41" t="n"/>
      <c r="H814" s="41" t="n"/>
    </row>
    <row r="815" ht="25.8" customHeight="1">
      <c r="B815" s="41" t="n"/>
      <c r="C815" s="41" t="n"/>
      <c r="F815" s="41" t="n"/>
      <c r="H815" s="41" t="n"/>
    </row>
    <row r="816" ht="25.8" customHeight="1">
      <c r="B816" s="41" t="n"/>
      <c r="C816" s="41" t="n"/>
      <c r="F816" s="41" t="n"/>
      <c r="H816" s="41" t="n"/>
    </row>
    <row r="817" ht="25.8" customHeight="1">
      <c r="B817" s="41" t="n"/>
      <c r="C817" s="41" t="n"/>
      <c r="F817" s="41" t="n"/>
      <c r="H817" s="41" t="n"/>
    </row>
    <row r="818" ht="25.8" customHeight="1">
      <c r="B818" s="41" t="n"/>
      <c r="C818" s="41" t="n"/>
      <c r="F818" s="41" t="n"/>
      <c r="H818" s="41" t="n"/>
    </row>
    <row r="819" ht="25.8" customHeight="1">
      <c r="B819" s="41" t="n"/>
      <c r="C819" s="41" t="n"/>
      <c r="F819" s="41" t="n"/>
      <c r="H819" s="41" t="n"/>
    </row>
    <row r="820" ht="25.8" customHeight="1">
      <c r="B820" s="41" t="n"/>
      <c r="C820" s="41" t="n"/>
      <c r="F820" s="41" t="n"/>
      <c r="H820" s="41" t="n"/>
    </row>
    <row r="821" ht="25.8" customHeight="1">
      <c r="B821" s="41" t="n"/>
      <c r="C821" s="41" t="n"/>
      <c r="F821" s="41" t="n"/>
      <c r="H821" s="41" t="n"/>
    </row>
    <row r="822" ht="25.8" customHeight="1">
      <c r="B822" s="41" t="n"/>
      <c r="C822" s="41" t="n"/>
      <c r="F822" s="41" t="n"/>
      <c r="H822" s="41" t="n"/>
    </row>
    <row r="823" ht="25.8" customHeight="1">
      <c r="B823" s="41" t="n"/>
      <c r="C823" s="41" t="n"/>
      <c r="F823" s="41" t="n"/>
      <c r="H823" s="41" t="n"/>
    </row>
    <row r="824" ht="25.8" customHeight="1">
      <c r="B824" s="41" t="n"/>
      <c r="C824" s="41" t="n"/>
      <c r="F824" s="41" t="n"/>
      <c r="H824" s="41" t="n"/>
    </row>
    <row r="825" ht="25.8" customHeight="1">
      <c r="B825" s="41" t="n"/>
      <c r="C825" s="41" t="n"/>
      <c r="F825" s="41" t="n"/>
      <c r="H825" s="41" t="n"/>
    </row>
    <row r="826" ht="25.8" customHeight="1">
      <c r="B826" s="41" t="n"/>
      <c r="C826" s="41" t="n"/>
      <c r="F826" s="41" t="n"/>
      <c r="H826" s="41" t="n"/>
    </row>
    <row r="827" ht="25.8" customHeight="1">
      <c r="B827" s="41" t="n"/>
      <c r="C827" s="41" t="n"/>
      <c r="F827" s="41" t="n"/>
      <c r="H827" s="41" t="n"/>
    </row>
    <row r="828" ht="25.8" customHeight="1">
      <c r="B828" s="41" t="n"/>
      <c r="C828" s="41" t="n"/>
      <c r="F828" s="41" t="n"/>
      <c r="H828" s="41" t="n"/>
    </row>
    <row r="829" ht="25.8" customHeight="1">
      <c r="B829" s="41" t="n"/>
      <c r="C829" s="41" t="n"/>
      <c r="F829" s="41" t="n"/>
      <c r="H829" s="41" t="n"/>
    </row>
    <row r="830" ht="25.8" customHeight="1">
      <c r="B830" s="41" t="n"/>
      <c r="C830" s="41" t="n"/>
      <c r="F830" s="41" t="n"/>
      <c r="H830" s="41" t="n"/>
    </row>
    <row r="831" ht="25.8" customHeight="1">
      <c r="B831" s="41" t="n"/>
      <c r="C831" s="41" t="n"/>
      <c r="F831" s="41" t="n"/>
      <c r="H831" s="41" t="n"/>
    </row>
    <row r="832" ht="25.8" customHeight="1">
      <c r="B832" s="41" t="n"/>
      <c r="C832" s="41" t="n"/>
      <c r="F832" s="41" t="n"/>
      <c r="H832" s="41" t="n"/>
    </row>
    <row r="833" ht="25.8" customHeight="1">
      <c r="B833" s="41" t="n"/>
      <c r="C833" s="41" t="n"/>
      <c r="F833" s="41" t="n"/>
      <c r="H833" s="41" t="n"/>
    </row>
    <row r="834" ht="25.8" customHeight="1">
      <c r="B834" s="41" t="n"/>
      <c r="C834" s="41" t="n"/>
      <c r="F834" s="41" t="n"/>
      <c r="H834" s="41" t="n"/>
    </row>
    <row r="835" ht="25.8" customHeight="1">
      <c r="B835" s="41" t="n"/>
      <c r="C835" s="41" t="n"/>
      <c r="F835" s="41" t="n"/>
      <c r="H835" s="41" t="n"/>
    </row>
    <row r="836" ht="25.8" customHeight="1">
      <c r="B836" s="41" t="n"/>
      <c r="C836" s="41" t="n"/>
      <c r="F836" s="41" t="n"/>
      <c r="H836" s="41" t="n"/>
    </row>
    <row r="837" ht="25.8" customHeight="1">
      <c r="B837" s="41" t="n"/>
      <c r="C837" s="41" t="n"/>
      <c r="F837" s="41" t="n"/>
      <c r="H837" s="41" t="n"/>
    </row>
    <row r="838" ht="25.8" customHeight="1">
      <c r="B838" s="41" t="n"/>
      <c r="C838" s="41" t="n"/>
      <c r="F838" s="41" t="n"/>
      <c r="H838" s="41" t="n"/>
    </row>
    <row r="839" ht="25.8" customHeight="1">
      <c r="B839" s="41" t="n"/>
      <c r="C839" s="41" t="n"/>
      <c r="F839" s="41" t="n"/>
      <c r="H839" s="41" t="n"/>
    </row>
    <row r="840" ht="25.8" customHeight="1">
      <c r="B840" s="41" t="n"/>
      <c r="C840" s="41" t="n"/>
      <c r="F840" s="41" t="n"/>
      <c r="H840" s="41" t="n"/>
    </row>
    <row r="841" ht="25.8" customHeight="1">
      <c r="B841" s="41" t="n"/>
      <c r="C841" s="41" t="n"/>
      <c r="F841" s="41" t="n"/>
      <c r="H841" s="41" t="n"/>
    </row>
    <row r="842" ht="25.8" customHeight="1">
      <c r="B842" s="41" t="n"/>
      <c r="C842" s="41" t="n"/>
      <c r="F842" s="41" t="n"/>
      <c r="H842" s="41" t="n"/>
    </row>
    <row r="843" ht="25.8" customHeight="1">
      <c r="B843" s="41" t="n"/>
      <c r="C843" s="41" t="n"/>
      <c r="F843" s="41" t="n"/>
      <c r="H843" s="41" t="n"/>
    </row>
    <row r="844" ht="25.8" customHeight="1">
      <c r="B844" s="41" t="n"/>
      <c r="C844" s="41" t="n"/>
      <c r="F844" s="41" t="n"/>
      <c r="H844" s="41" t="n"/>
    </row>
    <row r="845" ht="25.8" customHeight="1">
      <c r="B845" s="41" t="n"/>
      <c r="C845" s="41" t="n"/>
      <c r="F845" s="41" t="n"/>
      <c r="H845" s="41" t="n"/>
    </row>
    <row r="846" ht="25.8" customHeight="1">
      <c r="B846" s="41" t="n"/>
      <c r="C846" s="41" t="n"/>
      <c r="F846" s="41" t="n"/>
      <c r="H846" s="41" t="n"/>
    </row>
    <row r="847" ht="25.8" customHeight="1">
      <c r="B847" s="41" t="n"/>
      <c r="C847" s="41" t="n"/>
      <c r="F847" s="41" t="n"/>
      <c r="H847" s="41" t="n"/>
    </row>
    <row r="848" ht="25.8" customHeight="1">
      <c r="B848" s="41" t="n"/>
      <c r="C848" s="41" t="n"/>
      <c r="F848" s="41" t="n"/>
      <c r="H848" s="41" t="n"/>
    </row>
    <row r="849" ht="25.8" customHeight="1">
      <c r="B849" s="41" t="n"/>
      <c r="C849" s="41" t="n"/>
      <c r="F849" s="41" t="n"/>
      <c r="H849" s="41" t="n"/>
    </row>
    <row r="850" ht="25.8" customHeight="1">
      <c r="B850" s="41" t="n"/>
      <c r="C850" s="41" t="n"/>
      <c r="F850" s="41" t="n"/>
      <c r="H850" s="41" t="n"/>
    </row>
    <row r="851" ht="25.8" customHeight="1">
      <c r="B851" s="41" t="n"/>
      <c r="C851" s="41" t="n"/>
      <c r="F851" s="41" t="n"/>
      <c r="H851" s="41" t="n"/>
    </row>
    <row r="852" ht="25.8" customHeight="1">
      <c r="B852" s="41" t="n"/>
      <c r="C852" s="41" t="n"/>
      <c r="F852" s="41" t="n"/>
      <c r="H852" s="41" t="n"/>
    </row>
    <row r="853" ht="25.8" customHeight="1">
      <c r="B853" s="41" t="n"/>
      <c r="C853" s="41" t="n"/>
      <c r="F853" s="41" t="n"/>
      <c r="H853" s="41" t="n"/>
    </row>
    <row r="854" ht="25.8" customHeight="1">
      <c r="B854" s="41" t="n"/>
      <c r="C854" s="41" t="n"/>
      <c r="F854" s="41" t="n"/>
      <c r="H854" s="41" t="n"/>
    </row>
    <row r="855" ht="25.8" customHeight="1">
      <c r="B855" s="41" t="n"/>
      <c r="C855" s="41" t="n"/>
      <c r="F855" s="41" t="n"/>
      <c r="H855" s="41" t="n"/>
    </row>
    <row r="856" ht="25.8" customHeight="1">
      <c r="B856" s="41" t="n"/>
      <c r="C856" s="41" t="n"/>
      <c r="F856" s="41" t="n"/>
      <c r="H856" s="41" t="n"/>
    </row>
    <row r="857" ht="25.8" customHeight="1">
      <c r="B857" s="41" t="n"/>
      <c r="C857" s="41" t="n"/>
      <c r="F857" s="41" t="n"/>
      <c r="H857" s="41" t="n"/>
    </row>
    <row r="858" ht="25.8" customHeight="1">
      <c r="B858" s="41" t="n"/>
      <c r="C858" s="41" t="n"/>
      <c r="F858" s="41" t="n"/>
      <c r="H858" s="41" t="n"/>
    </row>
    <row r="859" ht="25.8" customHeight="1">
      <c r="B859" s="41" t="n"/>
      <c r="C859" s="41" t="n"/>
      <c r="F859" s="41" t="n"/>
      <c r="H859" s="41" t="n"/>
    </row>
    <row r="860" ht="25.8" customHeight="1">
      <c r="B860" s="41" t="n"/>
      <c r="C860" s="41" t="n"/>
      <c r="F860" s="41" t="n"/>
      <c r="H860" s="41" t="n"/>
    </row>
    <row r="861" ht="25.8" customHeight="1">
      <c r="B861" s="41" t="n"/>
      <c r="C861" s="41" t="n"/>
      <c r="F861" s="41" t="n"/>
      <c r="H861" s="41" t="n"/>
    </row>
    <row r="862" ht="25.8" customHeight="1">
      <c r="B862" s="41" t="n"/>
      <c r="C862" s="41" t="n"/>
      <c r="F862" s="41" t="n"/>
      <c r="H862" s="41" t="n"/>
    </row>
    <row r="863" ht="25.8" customHeight="1">
      <c r="B863" s="41" t="n"/>
      <c r="C863" s="41" t="n"/>
      <c r="F863" s="41" t="n"/>
      <c r="H863" s="41" t="n"/>
    </row>
    <row r="864" ht="25.8" customHeight="1">
      <c r="B864" s="41" t="n"/>
      <c r="C864" s="41" t="n"/>
      <c r="F864" s="41" t="n"/>
      <c r="H864" s="41" t="n"/>
    </row>
    <row r="865" ht="25.8" customHeight="1">
      <c r="B865" s="41" t="n"/>
      <c r="C865" s="41" t="n"/>
      <c r="F865" s="41" t="n"/>
      <c r="H865" s="41" t="n"/>
    </row>
    <row r="866" ht="25.8" customHeight="1">
      <c r="B866" s="41" t="n"/>
      <c r="C866" s="41" t="n"/>
      <c r="F866" s="41" t="n"/>
      <c r="H866" s="41" t="n"/>
    </row>
    <row r="867" ht="25.8" customHeight="1">
      <c r="B867" s="41" t="n"/>
      <c r="C867" s="41" t="n"/>
      <c r="F867" s="41" t="n"/>
      <c r="H867" s="41" t="n"/>
    </row>
    <row r="868" ht="25.8" customHeight="1">
      <c r="B868" s="41" t="n"/>
      <c r="C868" s="41" t="n"/>
      <c r="F868" s="41" t="n"/>
      <c r="H868" s="41" t="n"/>
    </row>
    <row r="869" ht="25.8" customHeight="1">
      <c r="B869" s="41" t="n"/>
      <c r="C869" s="41" t="n"/>
      <c r="F869" s="41" t="n"/>
      <c r="H869" s="41" t="n"/>
    </row>
    <row r="870" ht="25.8" customHeight="1">
      <c r="B870" s="41" t="n"/>
      <c r="C870" s="41" t="n"/>
      <c r="F870" s="41" t="n"/>
      <c r="H870" s="41" t="n"/>
    </row>
    <row r="871" ht="25.8" customHeight="1">
      <c r="B871" s="41" t="n"/>
      <c r="C871" s="41" t="n"/>
      <c r="F871" s="41" t="n"/>
      <c r="H871" s="41" t="n"/>
    </row>
    <row r="872" ht="25.8" customHeight="1">
      <c r="B872" s="41" t="n"/>
      <c r="C872" s="41" t="n"/>
      <c r="F872" s="41" t="n"/>
      <c r="H872" s="41" t="n"/>
    </row>
    <row r="873" ht="25.8" customHeight="1">
      <c r="B873" s="41" t="n"/>
      <c r="C873" s="41" t="n"/>
      <c r="F873" s="41" t="n"/>
      <c r="H873" s="41" t="n"/>
    </row>
    <row r="874" ht="25.8" customHeight="1">
      <c r="B874" s="41" t="n"/>
      <c r="C874" s="41" t="n"/>
      <c r="F874" s="41" t="n"/>
      <c r="H874" s="41" t="n"/>
    </row>
    <row r="875" ht="25.8" customHeight="1">
      <c r="B875" s="41" t="n"/>
      <c r="C875" s="41" t="n"/>
      <c r="F875" s="41" t="n"/>
      <c r="H875" s="41" t="n"/>
    </row>
    <row r="876" ht="25.8" customHeight="1">
      <c r="B876" s="41" t="n"/>
      <c r="C876" s="41" t="n"/>
      <c r="F876" s="41" t="n"/>
      <c r="H876" s="41" t="n"/>
    </row>
    <row r="877" ht="25.8" customHeight="1">
      <c r="B877" s="41" t="n"/>
      <c r="C877" s="41" t="n"/>
      <c r="F877" s="41" t="n"/>
      <c r="H877" s="41" t="n"/>
    </row>
    <row r="878" ht="25.8" customHeight="1">
      <c r="B878" s="41" t="n"/>
      <c r="C878" s="41" t="n"/>
      <c r="F878" s="41" t="n"/>
      <c r="H878" s="41" t="n"/>
    </row>
    <row r="879" ht="25.8" customHeight="1">
      <c r="B879" s="41" t="n"/>
      <c r="C879" s="41" t="n"/>
      <c r="F879" s="41" t="n"/>
      <c r="H879" s="41" t="n"/>
    </row>
    <row r="880" ht="25.8" customHeight="1">
      <c r="B880" s="41" t="n"/>
      <c r="C880" s="41" t="n"/>
      <c r="F880" s="41" t="n"/>
      <c r="H880" s="41" t="n"/>
    </row>
    <row r="881" ht="25.8" customHeight="1">
      <c r="B881" s="41" t="n"/>
      <c r="C881" s="41" t="n"/>
      <c r="F881" s="41" t="n"/>
      <c r="H881" s="41" t="n"/>
    </row>
    <row r="882" ht="25.8" customHeight="1">
      <c r="B882" s="41" t="n"/>
      <c r="C882" s="41" t="n"/>
      <c r="F882" s="41" t="n"/>
      <c r="H882" s="41" t="n"/>
    </row>
    <row r="883" ht="25.8" customHeight="1">
      <c r="B883" s="41" t="n"/>
      <c r="C883" s="41" t="n"/>
      <c r="F883" s="41" t="n"/>
      <c r="H883" s="41" t="n"/>
    </row>
    <row r="884" ht="25.8" customHeight="1">
      <c r="B884" s="41" t="n"/>
      <c r="C884" s="41" t="n"/>
      <c r="F884" s="41" t="n"/>
      <c r="H884" s="41" t="n"/>
    </row>
    <row r="885" ht="25.8" customHeight="1">
      <c r="B885" s="41" t="n"/>
      <c r="C885" s="41" t="n"/>
      <c r="F885" s="41" t="n"/>
      <c r="H885" s="41" t="n"/>
    </row>
    <row r="886" ht="25.8" customHeight="1">
      <c r="B886" s="41" t="n"/>
      <c r="C886" s="41" t="n"/>
      <c r="F886" s="41" t="n"/>
      <c r="H886" s="41" t="n"/>
    </row>
    <row r="887" ht="25.8" customHeight="1">
      <c r="B887" s="41" t="n"/>
      <c r="C887" s="41" t="n"/>
      <c r="F887" s="41" t="n"/>
      <c r="H887" s="41" t="n"/>
    </row>
    <row r="888" ht="25.8" customHeight="1">
      <c r="B888" s="41" t="n"/>
      <c r="C888" s="41" t="n"/>
      <c r="F888" s="41" t="n"/>
      <c r="H888" s="41" t="n"/>
    </row>
    <row r="889" ht="25.8" customHeight="1">
      <c r="B889" s="41" t="n"/>
      <c r="C889" s="41" t="n"/>
      <c r="F889" s="41" t="n"/>
      <c r="H889" s="41" t="n"/>
    </row>
    <row r="890" ht="25.8" customHeight="1">
      <c r="B890" s="41" t="n"/>
      <c r="C890" s="41" t="n"/>
      <c r="F890" s="41" t="n"/>
      <c r="H890" s="41" t="n"/>
    </row>
    <row r="891" ht="25.8" customHeight="1">
      <c r="B891" s="41" t="n"/>
      <c r="C891" s="41" t="n"/>
      <c r="F891" s="41" t="n"/>
      <c r="H891" s="41" t="n"/>
    </row>
    <row r="892" ht="25.8" customHeight="1">
      <c r="B892" s="41" t="n"/>
      <c r="C892" s="41" t="n"/>
      <c r="F892" s="41" t="n"/>
      <c r="H892" s="41" t="n"/>
    </row>
    <row r="893" ht="25.8" customHeight="1">
      <c r="B893" s="41" t="n"/>
      <c r="C893" s="41" t="n"/>
      <c r="F893" s="41" t="n"/>
      <c r="H893" s="41" t="n"/>
    </row>
    <row r="894" ht="25.8" customHeight="1">
      <c r="B894" s="41" t="n"/>
      <c r="C894" s="41" t="n"/>
      <c r="F894" s="41" t="n"/>
      <c r="H894" s="41" t="n"/>
    </row>
    <row r="895" ht="25.8" customHeight="1">
      <c r="B895" s="41" t="n"/>
      <c r="C895" s="41" t="n"/>
      <c r="F895" s="41" t="n"/>
      <c r="H895" s="41" t="n"/>
    </row>
    <row r="896" ht="25.8" customHeight="1">
      <c r="B896" s="41" t="n"/>
      <c r="C896" s="41" t="n"/>
      <c r="F896" s="41" t="n"/>
      <c r="H896" s="41" t="n"/>
    </row>
    <row r="897" ht="25.8" customHeight="1">
      <c r="B897" s="41" t="n"/>
      <c r="C897" s="41" t="n"/>
      <c r="F897" s="41" t="n"/>
      <c r="H897" s="41" t="n"/>
    </row>
    <row r="898" ht="25.8" customHeight="1">
      <c r="B898" s="41" t="n"/>
      <c r="C898" s="41" t="n"/>
      <c r="F898" s="41" t="n"/>
      <c r="H898" s="41" t="n"/>
    </row>
    <row r="899" ht="25.8" customHeight="1">
      <c r="B899" s="41" t="n"/>
      <c r="C899" s="41" t="n"/>
      <c r="F899" s="41" t="n"/>
      <c r="H899" s="41" t="n"/>
    </row>
    <row r="900" ht="25.8" customHeight="1">
      <c r="B900" s="41" t="n"/>
      <c r="C900" s="41" t="n"/>
      <c r="F900" s="41" t="n"/>
      <c r="H900" s="41" t="n"/>
    </row>
    <row r="901" ht="25.8" customHeight="1">
      <c r="B901" s="41" t="n"/>
      <c r="C901" s="41" t="n"/>
      <c r="F901" s="41" t="n"/>
      <c r="H901" s="41" t="n"/>
    </row>
    <row r="902" ht="25.8" customHeight="1">
      <c r="B902" s="41" t="n"/>
      <c r="C902" s="41" t="n"/>
      <c r="F902" s="41" t="n"/>
      <c r="H902" s="41" t="n"/>
    </row>
    <row r="903" ht="25.8" customHeight="1">
      <c r="B903" s="41" t="n"/>
      <c r="C903" s="41" t="n"/>
      <c r="F903" s="41" t="n"/>
      <c r="H903" s="41" t="n"/>
    </row>
    <row r="904" ht="25.8" customHeight="1">
      <c r="B904" s="41" t="n"/>
      <c r="C904" s="41" t="n"/>
      <c r="F904" s="41" t="n"/>
      <c r="H904" s="41" t="n"/>
    </row>
    <row r="905" ht="25.8" customHeight="1">
      <c r="B905" s="41" t="n"/>
      <c r="C905" s="41" t="n"/>
      <c r="F905" s="41" t="n"/>
      <c r="H905" s="41" t="n"/>
    </row>
    <row r="906" ht="25.8" customHeight="1">
      <c r="B906" s="41" t="n"/>
      <c r="C906" s="41" t="n"/>
      <c r="F906" s="41" t="n"/>
      <c r="H906" s="41" t="n"/>
    </row>
    <row r="907" ht="25.8" customHeight="1">
      <c r="B907" s="41" t="n"/>
      <c r="C907" s="41" t="n"/>
      <c r="F907" s="41" t="n"/>
      <c r="H907" s="41" t="n"/>
    </row>
    <row r="908" ht="25.8" customHeight="1">
      <c r="B908" s="41" t="n"/>
      <c r="C908" s="41" t="n"/>
      <c r="F908" s="41" t="n"/>
      <c r="H908" s="41" t="n"/>
    </row>
    <row r="909" ht="25.8" customHeight="1">
      <c r="B909" s="41" t="n"/>
      <c r="C909" s="41" t="n"/>
      <c r="F909" s="41" t="n"/>
      <c r="H909" s="41" t="n"/>
    </row>
    <row r="910" ht="25.8" customHeight="1">
      <c r="B910" s="41" t="n"/>
      <c r="C910" s="41" t="n"/>
      <c r="F910" s="41" t="n"/>
      <c r="H910" s="41" t="n"/>
    </row>
    <row r="911" ht="25.8" customHeight="1">
      <c r="B911" s="41" t="n"/>
      <c r="C911" s="41" t="n"/>
      <c r="F911" s="41" t="n"/>
      <c r="H911" s="41" t="n"/>
    </row>
    <row r="912" ht="25.8" customHeight="1">
      <c r="B912" s="41" t="n"/>
      <c r="C912" s="41" t="n"/>
      <c r="F912" s="41" t="n"/>
      <c r="H912" s="41" t="n"/>
    </row>
    <row r="913" ht="25.8" customHeight="1">
      <c r="B913" s="41" t="n"/>
      <c r="C913" s="41" t="n"/>
      <c r="F913" s="41" t="n"/>
      <c r="H913" s="41" t="n"/>
    </row>
    <row r="914" ht="25.8" customHeight="1">
      <c r="B914" s="41" t="n"/>
      <c r="C914" s="41" t="n"/>
      <c r="F914" s="41" t="n"/>
      <c r="H914" s="41" t="n"/>
    </row>
    <row r="915" ht="25.8" customHeight="1">
      <c r="B915" s="41" t="n"/>
      <c r="C915" s="41" t="n"/>
      <c r="F915" s="41" t="n"/>
      <c r="H915" s="41" t="n"/>
    </row>
    <row r="916" ht="25.8" customHeight="1">
      <c r="B916" s="41" t="n"/>
      <c r="C916" s="41" t="n"/>
      <c r="F916" s="41" t="n"/>
      <c r="H916" s="41" t="n"/>
    </row>
    <row r="917" ht="25.8" customHeight="1">
      <c r="B917" s="41" t="n"/>
      <c r="C917" s="41" t="n"/>
      <c r="F917" s="41" t="n"/>
      <c r="H917" s="41" t="n"/>
    </row>
    <row r="918" ht="25.8" customHeight="1">
      <c r="B918" s="41" t="n"/>
      <c r="C918" s="41" t="n"/>
      <c r="F918" s="41" t="n"/>
      <c r="H918" s="41" t="n"/>
    </row>
    <row r="919" ht="25.8" customHeight="1">
      <c r="B919" s="41" t="n"/>
      <c r="C919" s="41" t="n"/>
      <c r="F919" s="41" t="n"/>
      <c r="H919" s="41" t="n"/>
    </row>
    <row r="920" ht="25.8" customHeight="1">
      <c r="B920" s="41" t="n"/>
      <c r="C920" s="41" t="n"/>
      <c r="F920" s="41" t="n"/>
      <c r="H920" s="41" t="n"/>
    </row>
    <row r="921" ht="25.8" customHeight="1">
      <c r="B921" s="41" t="n"/>
      <c r="C921" s="41" t="n"/>
      <c r="F921" s="41" t="n"/>
      <c r="H921" s="41" t="n"/>
    </row>
    <row r="922" ht="25.8" customHeight="1">
      <c r="B922" s="41" t="n"/>
      <c r="C922" s="41" t="n"/>
      <c r="F922" s="41" t="n"/>
      <c r="H922" s="41" t="n"/>
    </row>
    <row r="923" ht="25.8" customHeight="1">
      <c r="B923" s="41" t="n"/>
      <c r="C923" s="41" t="n"/>
      <c r="F923" s="41" t="n"/>
      <c r="H923" s="41" t="n"/>
    </row>
    <row r="924" ht="25.8" customHeight="1">
      <c r="B924" s="41" t="n"/>
      <c r="C924" s="41" t="n"/>
      <c r="F924" s="41" t="n"/>
      <c r="H924" s="41" t="n"/>
    </row>
    <row r="925" ht="25.8" customHeight="1">
      <c r="B925" s="41" t="n"/>
      <c r="C925" s="41" t="n"/>
      <c r="F925" s="41" t="n"/>
      <c r="H925" s="41" t="n"/>
    </row>
    <row r="926" ht="25.8" customHeight="1">
      <c r="B926" s="41" t="n"/>
      <c r="C926" s="41" t="n"/>
      <c r="F926" s="41" t="n"/>
      <c r="H926" s="41" t="n"/>
    </row>
    <row r="927" ht="25.8" customHeight="1">
      <c r="B927" s="41" t="n"/>
      <c r="C927" s="41" t="n"/>
      <c r="F927" s="41" t="n"/>
      <c r="H927" s="41" t="n"/>
    </row>
    <row r="928" ht="25.8" customHeight="1">
      <c r="B928" s="41" t="n"/>
      <c r="C928" s="41" t="n"/>
      <c r="F928" s="41" t="n"/>
      <c r="H928" s="41" t="n"/>
    </row>
    <row r="929" ht="25.8" customHeight="1">
      <c r="B929" s="41" t="n"/>
      <c r="C929" s="41" t="n"/>
      <c r="F929" s="41" t="n"/>
      <c r="H929" s="41" t="n"/>
    </row>
    <row r="930" ht="25.8" customHeight="1">
      <c r="B930" s="41" t="n"/>
      <c r="C930" s="41" t="n"/>
      <c r="F930" s="41" t="n"/>
      <c r="H930" s="41" t="n"/>
    </row>
    <row r="931" ht="25.8" customHeight="1">
      <c r="B931" s="41" t="n"/>
      <c r="C931" s="41" t="n"/>
      <c r="F931" s="41" t="n"/>
      <c r="H931" s="41" t="n"/>
    </row>
    <row r="932" ht="25.8" customHeight="1">
      <c r="B932" s="41" t="n"/>
      <c r="C932" s="41" t="n"/>
      <c r="F932" s="41" t="n"/>
      <c r="H932" s="41" t="n"/>
    </row>
    <row r="933" ht="25.8" customHeight="1">
      <c r="B933" s="41" t="n"/>
      <c r="C933" s="41" t="n"/>
      <c r="F933" s="41" t="n"/>
      <c r="H933" s="41" t="n"/>
    </row>
    <row r="934" ht="25.8" customHeight="1">
      <c r="B934" s="41" t="n"/>
      <c r="C934" s="41" t="n"/>
      <c r="F934" s="41" t="n"/>
      <c r="H934" s="41" t="n"/>
    </row>
    <row r="935" ht="25.8" customHeight="1">
      <c r="B935" s="41" t="n"/>
      <c r="C935" s="41" t="n"/>
      <c r="F935" s="41" t="n"/>
      <c r="H935" s="41" t="n"/>
    </row>
    <row r="936" ht="25.8" customHeight="1">
      <c r="B936" s="41" t="n"/>
      <c r="C936" s="41" t="n"/>
      <c r="F936" s="41" t="n"/>
      <c r="H936" s="41" t="n"/>
    </row>
    <row r="937" ht="25.8" customHeight="1">
      <c r="B937" s="41" t="n"/>
      <c r="C937" s="41" t="n"/>
      <c r="F937" s="41" t="n"/>
      <c r="H937" s="41" t="n"/>
    </row>
    <row r="938" ht="25.8" customHeight="1">
      <c r="B938" s="41" t="n"/>
      <c r="C938" s="41" t="n"/>
      <c r="F938" s="41" t="n"/>
      <c r="H938" s="41" t="n"/>
    </row>
    <row r="939" ht="25.8" customHeight="1">
      <c r="B939" s="41" t="n"/>
      <c r="C939" s="41" t="n"/>
      <c r="F939" s="41" t="n"/>
      <c r="H939" s="41" t="n"/>
    </row>
    <row r="940" ht="25.8" customHeight="1">
      <c r="B940" s="41" t="n"/>
      <c r="C940" s="41" t="n"/>
      <c r="F940" s="41" t="n"/>
      <c r="H940" s="41" t="n"/>
    </row>
    <row r="941" ht="25.8" customHeight="1">
      <c r="B941" s="41" t="n"/>
      <c r="C941" s="41" t="n"/>
      <c r="F941" s="41" t="n"/>
      <c r="H941" s="41" t="n"/>
    </row>
    <row r="942" ht="25.8" customHeight="1">
      <c r="B942" s="41" t="n"/>
      <c r="C942" s="41" t="n"/>
      <c r="F942" s="41" t="n"/>
      <c r="H942" s="41" t="n"/>
    </row>
    <row r="943" ht="25.8" customHeight="1">
      <c r="B943" s="41" t="n"/>
      <c r="C943" s="41" t="n"/>
      <c r="F943" s="41" t="n"/>
      <c r="H943" s="41" t="n"/>
    </row>
    <row r="944" ht="25.8" customHeight="1">
      <c r="B944" s="41" t="n"/>
      <c r="C944" s="41" t="n"/>
      <c r="F944" s="41" t="n"/>
      <c r="H944" s="41" t="n"/>
    </row>
    <row r="945" ht="25.8" customHeight="1">
      <c r="B945" s="41" t="n"/>
      <c r="C945" s="41" t="n"/>
      <c r="F945" s="41" t="n"/>
      <c r="H945" s="41" t="n"/>
    </row>
    <row r="946" ht="25.8" customHeight="1">
      <c r="B946" s="41" t="n"/>
      <c r="C946" s="41" t="n"/>
      <c r="F946" s="41" t="n"/>
      <c r="H946" s="41" t="n"/>
    </row>
    <row r="947" ht="25.8" customHeight="1">
      <c r="B947" s="41" t="n"/>
      <c r="C947" s="41" t="n"/>
      <c r="F947" s="41" t="n"/>
      <c r="H947" s="41" t="n"/>
    </row>
    <row r="948" ht="25.8" customHeight="1">
      <c r="B948" s="41" t="n"/>
      <c r="C948" s="41" t="n"/>
      <c r="F948" s="41" t="n"/>
      <c r="H948" s="41" t="n"/>
    </row>
    <row r="949" ht="25.8" customHeight="1">
      <c r="B949" s="41" t="n"/>
      <c r="C949" s="41" t="n"/>
      <c r="F949" s="41" t="n"/>
      <c r="H949" s="41" t="n"/>
    </row>
    <row r="950" ht="25.8" customHeight="1">
      <c r="B950" s="41" t="n"/>
      <c r="C950" s="41" t="n"/>
      <c r="F950" s="41" t="n"/>
      <c r="H950" s="41" t="n"/>
    </row>
    <row r="951" ht="25.8" customHeight="1">
      <c r="B951" s="41" t="n"/>
      <c r="C951" s="41" t="n"/>
      <c r="F951" s="41" t="n"/>
      <c r="H951" s="41" t="n"/>
    </row>
    <row r="952" ht="25.8" customHeight="1">
      <c r="B952" s="41" t="n"/>
      <c r="C952" s="41" t="n"/>
      <c r="F952" s="41" t="n"/>
      <c r="H952" s="41" t="n"/>
    </row>
    <row r="953" ht="25.8" customHeight="1">
      <c r="B953" s="41" t="n"/>
      <c r="C953" s="41" t="n"/>
      <c r="F953" s="41" t="n"/>
      <c r="H953" s="41" t="n"/>
    </row>
    <row r="954" ht="25.8" customHeight="1">
      <c r="B954" s="41" t="n"/>
      <c r="C954" s="41" t="n"/>
      <c r="F954" s="41" t="n"/>
      <c r="H954" s="41" t="n"/>
    </row>
    <row r="955" ht="25.8" customHeight="1">
      <c r="B955" s="41" t="n"/>
      <c r="C955" s="41" t="n"/>
      <c r="F955" s="41" t="n"/>
      <c r="H955" s="41" t="n"/>
    </row>
    <row r="956" ht="25.8" customHeight="1">
      <c r="B956" s="41" t="n"/>
      <c r="C956" s="41" t="n"/>
      <c r="F956" s="41" t="n"/>
      <c r="H956" s="41" t="n"/>
    </row>
    <row r="957" ht="25.8" customHeight="1">
      <c r="B957" s="41" t="n"/>
      <c r="C957" s="41" t="n"/>
      <c r="F957" s="41" t="n"/>
      <c r="H957" s="41" t="n"/>
    </row>
    <row r="958" ht="25.8" customHeight="1">
      <c r="B958" s="41" t="n"/>
      <c r="C958" s="41" t="n"/>
      <c r="F958" s="41" t="n"/>
      <c r="H958" s="41" t="n"/>
    </row>
    <row r="959" ht="25.8" customHeight="1">
      <c r="B959" s="41" t="n"/>
      <c r="C959" s="41" t="n"/>
      <c r="F959" s="41" t="n"/>
      <c r="H959" s="41" t="n"/>
    </row>
    <row r="960" ht="25.8" customHeight="1">
      <c r="B960" s="41" t="n"/>
      <c r="C960" s="41" t="n"/>
      <c r="F960" s="41" t="n"/>
      <c r="H960" s="41" t="n"/>
    </row>
    <row r="961" ht="25.8" customHeight="1">
      <c r="B961" s="41" t="n"/>
      <c r="C961" s="41" t="n"/>
      <c r="F961" s="41" t="n"/>
      <c r="H961" s="41" t="n"/>
    </row>
    <row r="962" ht="25.8" customHeight="1">
      <c r="B962" s="41" t="n"/>
      <c r="C962" s="41" t="n"/>
      <c r="F962" s="41" t="n"/>
      <c r="H962" s="41" t="n"/>
    </row>
    <row r="963" ht="25.8" customHeight="1">
      <c r="B963" s="41" t="n"/>
      <c r="C963" s="41" t="n"/>
      <c r="F963" s="41" t="n"/>
      <c r="H963" s="41" t="n"/>
    </row>
    <row r="964" ht="25.8" customHeight="1">
      <c r="B964" s="41" t="n"/>
      <c r="C964" s="41" t="n"/>
      <c r="F964" s="41" t="n"/>
      <c r="H964" s="41" t="n"/>
    </row>
    <row r="965" ht="25.8" customHeight="1">
      <c r="B965" s="41" t="n"/>
      <c r="C965" s="41" t="n"/>
      <c r="F965" s="41" t="n"/>
      <c r="H965" s="41" t="n"/>
    </row>
    <row r="966" ht="25.8" customHeight="1">
      <c r="B966" s="41" t="n"/>
      <c r="C966" s="41" t="n"/>
      <c r="F966" s="41" t="n"/>
      <c r="H966" s="41" t="n"/>
    </row>
    <row r="967" ht="25.8" customHeight="1">
      <c r="B967" s="41" t="n"/>
      <c r="C967" s="41" t="n"/>
      <c r="F967" s="41" t="n"/>
      <c r="H967" s="41" t="n"/>
    </row>
    <row r="968" ht="25.8" customHeight="1">
      <c r="B968" s="41" t="n"/>
      <c r="C968" s="41" t="n"/>
      <c r="F968" s="41" t="n"/>
      <c r="H968" s="41" t="n"/>
    </row>
    <row r="969" ht="25.8" customHeight="1">
      <c r="B969" s="41" t="n"/>
      <c r="C969" s="41" t="n"/>
      <c r="F969" s="41" t="n"/>
      <c r="H969" s="41" t="n"/>
    </row>
    <row r="970" ht="25.8" customHeight="1">
      <c r="B970" s="41" t="n"/>
      <c r="C970" s="41" t="n"/>
      <c r="F970" s="41" t="n"/>
      <c r="H970" s="41" t="n"/>
    </row>
    <row r="971" ht="25.8" customHeight="1">
      <c r="B971" s="41" t="n"/>
      <c r="C971" s="41" t="n"/>
      <c r="F971" s="41" t="n"/>
      <c r="H971" s="41" t="n"/>
    </row>
    <row r="972" ht="25.8" customHeight="1">
      <c r="B972" s="41" t="n"/>
      <c r="C972" s="41" t="n"/>
      <c r="F972" s="41" t="n"/>
      <c r="H972" s="41" t="n"/>
    </row>
    <row r="973" ht="25.8" customHeight="1">
      <c r="B973" s="41" t="n"/>
      <c r="C973" s="41" t="n"/>
      <c r="F973" s="41" t="n"/>
      <c r="H973" s="41" t="n"/>
    </row>
    <row r="974" ht="25.8" customHeight="1">
      <c r="B974" s="41" t="n"/>
      <c r="C974" s="41" t="n"/>
      <c r="F974" s="41" t="n"/>
      <c r="H974" s="41" t="n"/>
    </row>
    <row r="975" ht="25.8" customHeight="1">
      <c r="B975" s="41" t="n"/>
      <c r="C975" s="41" t="n"/>
      <c r="F975" s="41" t="n"/>
      <c r="H975" s="41" t="n"/>
    </row>
    <row r="976" ht="25.8" customHeight="1">
      <c r="B976" s="41" t="n"/>
      <c r="C976" s="41" t="n"/>
      <c r="F976" s="41" t="n"/>
      <c r="H976" s="41" t="n"/>
    </row>
    <row r="977" ht="25.8" customHeight="1">
      <c r="B977" s="41" t="n"/>
      <c r="C977" s="41" t="n"/>
      <c r="F977" s="41" t="n"/>
      <c r="H977" s="41" t="n"/>
    </row>
    <row r="978" ht="25.8" customHeight="1">
      <c r="B978" s="41" t="n"/>
      <c r="C978" s="41" t="n"/>
      <c r="F978" s="41" t="n"/>
      <c r="H978" s="41" t="n"/>
    </row>
    <row r="979" ht="25.8" customHeight="1">
      <c r="B979" s="41" t="n"/>
      <c r="C979" s="41" t="n"/>
      <c r="F979" s="41" t="n"/>
      <c r="H979" s="41" t="n"/>
    </row>
    <row r="980" ht="25.8" customHeight="1">
      <c r="B980" s="41" t="n"/>
      <c r="C980" s="41" t="n"/>
      <c r="F980" s="41" t="n"/>
      <c r="H980" s="41" t="n"/>
    </row>
    <row r="981" ht="25.8" customHeight="1">
      <c r="B981" s="41" t="n"/>
      <c r="C981" s="41" t="n"/>
      <c r="F981" s="41" t="n"/>
      <c r="H981" s="41" t="n"/>
    </row>
    <row r="982" ht="25.8" customHeight="1">
      <c r="B982" s="41" t="n"/>
      <c r="C982" s="41" t="n"/>
      <c r="F982" s="41" t="n"/>
      <c r="H982" s="41" t="n"/>
    </row>
    <row r="983" ht="25.8" customHeight="1">
      <c r="B983" s="41" t="n"/>
      <c r="C983" s="41" t="n"/>
      <c r="F983" s="41" t="n"/>
      <c r="H983" s="41" t="n"/>
    </row>
    <row r="984" ht="25.8" customHeight="1">
      <c r="B984" s="41" t="n"/>
      <c r="C984" s="41" t="n"/>
      <c r="F984" s="41" t="n"/>
      <c r="H984" s="41" t="n"/>
    </row>
    <row r="985" ht="25.8" customHeight="1">
      <c r="B985" s="41" t="n"/>
      <c r="C985" s="41" t="n"/>
      <c r="F985" s="41" t="n"/>
      <c r="H985" s="41" t="n"/>
    </row>
    <row r="986" ht="25.8" customHeight="1">
      <c r="B986" s="41" t="n"/>
      <c r="C986" s="41" t="n"/>
      <c r="F986" s="41" t="n"/>
      <c r="H986" s="41" t="n"/>
    </row>
    <row r="987" ht="25.8" customHeight="1">
      <c r="B987" s="41" t="n"/>
      <c r="C987" s="41" t="n"/>
      <c r="F987" s="41" t="n"/>
      <c r="H987" s="41" t="n"/>
    </row>
    <row r="988" ht="25.8" customHeight="1">
      <c r="B988" s="41" t="n"/>
      <c r="C988" s="41" t="n"/>
      <c r="F988" s="41" t="n"/>
      <c r="H988" s="41" t="n"/>
    </row>
    <row r="989" ht="25.8" customHeight="1">
      <c r="B989" s="41" t="n"/>
      <c r="C989" s="41" t="n"/>
      <c r="F989" s="41" t="n"/>
      <c r="H989" s="41" t="n"/>
    </row>
    <row r="990" ht="25.8" customHeight="1">
      <c r="B990" s="41" t="n"/>
      <c r="C990" s="41" t="n"/>
      <c r="F990" s="41" t="n"/>
      <c r="H990" s="41" t="n"/>
    </row>
    <row r="991" ht="25.8" customHeight="1">
      <c r="B991" s="41" t="n"/>
      <c r="C991" s="41" t="n"/>
      <c r="F991" s="41" t="n"/>
      <c r="H991" s="41" t="n"/>
    </row>
    <row r="992" ht="25.8" customHeight="1">
      <c r="B992" s="41" t="n"/>
      <c r="C992" s="41" t="n"/>
      <c r="F992" s="41" t="n"/>
      <c r="H992" s="41" t="n"/>
    </row>
    <row r="993" ht="25.8" customHeight="1">
      <c r="B993" s="41" t="n"/>
      <c r="C993" s="41" t="n"/>
      <c r="F993" s="41" t="n"/>
      <c r="H993" s="41" t="n"/>
    </row>
    <row r="994" ht="25.8" customHeight="1">
      <c r="B994" s="41" t="n"/>
      <c r="C994" s="41" t="n"/>
      <c r="F994" s="41" t="n"/>
      <c r="H994" s="41" t="n"/>
    </row>
    <row r="995" ht="25.8" customHeight="1">
      <c r="B995" s="41" t="n"/>
      <c r="C995" s="41" t="n"/>
      <c r="F995" s="41" t="n"/>
      <c r="H995" s="41" t="n"/>
    </row>
    <row r="996" ht="25.8" customHeight="1">
      <c r="B996" s="41" t="n"/>
      <c r="C996" s="41" t="n"/>
      <c r="F996" s="41" t="n"/>
      <c r="H996" s="41" t="n"/>
    </row>
    <row r="997" ht="25.8" customHeight="1">
      <c r="B997" s="41" t="n"/>
      <c r="C997" s="41" t="n"/>
      <c r="F997" s="41" t="n"/>
      <c r="H997" s="41" t="n"/>
    </row>
    <row r="998" ht="25.8" customHeight="1">
      <c r="B998" s="41" t="n"/>
      <c r="C998" s="41" t="n"/>
      <c r="F998" s="41" t="n"/>
      <c r="H998" s="41" t="n"/>
    </row>
    <row r="999" ht="25.8" customHeight="1">
      <c r="B999" s="41" t="n"/>
      <c r="C999" s="41" t="n"/>
      <c r="F999" s="41" t="n"/>
      <c r="H999" s="41" t="n"/>
    </row>
    <row r="1000" ht="25.8" customHeight="1">
      <c r="B1000" s="41" t="n"/>
      <c r="C1000" s="41" t="n"/>
      <c r="F1000" s="41" t="n"/>
      <c r="H1000" s="41" t="n"/>
    </row>
    <row r="1001" ht="25.8" customHeight="1">
      <c r="B1001" s="41" t="n"/>
      <c r="C1001" s="41" t="n"/>
      <c r="F1001" s="41" t="n"/>
      <c r="H1001" s="41" t="n"/>
    </row>
    <row r="1002" ht="25.8" customHeight="1">
      <c r="B1002" s="41" t="n"/>
      <c r="C1002" s="41" t="n"/>
      <c r="F1002" s="41" t="n"/>
      <c r="H1002" s="41" t="n"/>
    </row>
    <row r="1003" ht="25.8" customHeight="1">
      <c r="B1003" s="41" t="n"/>
      <c r="C1003" s="41" t="n"/>
      <c r="F1003" s="41" t="n"/>
      <c r="H1003" s="41" t="n"/>
    </row>
    <row r="1004" ht="25.8" customHeight="1">
      <c r="B1004" s="41" t="n"/>
      <c r="C1004" s="41" t="n"/>
      <c r="F1004" s="41" t="n"/>
      <c r="H1004" s="41" t="n"/>
    </row>
    <row r="1005" ht="25.8" customHeight="1">
      <c r="B1005" s="41" t="n"/>
      <c r="C1005" s="41" t="n"/>
      <c r="F1005" s="41" t="n"/>
      <c r="H1005" s="41" t="n"/>
    </row>
    <row r="1006" ht="25.8" customHeight="1">
      <c r="B1006" s="41" t="n"/>
      <c r="C1006" s="41" t="n"/>
      <c r="F1006" s="41" t="n"/>
      <c r="H1006" s="41" t="n"/>
    </row>
    <row r="1007" ht="25.8" customHeight="1">
      <c r="B1007" s="41" t="n"/>
      <c r="C1007" s="41" t="n"/>
      <c r="F1007" s="41" t="n"/>
      <c r="H1007" s="41" t="n"/>
    </row>
    <row r="1008" ht="25.8" customHeight="1">
      <c r="B1008" s="41" t="n"/>
      <c r="C1008" s="41" t="n"/>
      <c r="F1008" s="41" t="n"/>
      <c r="H1008" s="41" t="n"/>
    </row>
    <row r="1009" ht="25.8" customHeight="1">
      <c r="B1009" s="41" t="n"/>
      <c r="C1009" s="41" t="n"/>
      <c r="F1009" s="41" t="n"/>
      <c r="H1009" s="41" t="n"/>
    </row>
    <row r="1010" ht="25.8" customHeight="1">
      <c r="B1010" s="41" t="n"/>
      <c r="C1010" s="41" t="n"/>
      <c r="F1010" s="41" t="n"/>
      <c r="H1010" s="41" t="n"/>
    </row>
    <row r="1011" ht="25.8" customHeight="1">
      <c r="B1011" s="41" t="n"/>
      <c r="C1011" s="41" t="n"/>
      <c r="F1011" s="41" t="n"/>
      <c r="H1011" s="41" t="n"/>
    </row>
    <row r="1012" ht="25.8" customHeight="1">
      <c r="B1012" s="41" t="n"/>
      <c r="C1012" s="41" t="n"/>
      <c r="F1012" s="41" t="n"/>
      <c r="H1012" s="41" t="n"/>
    </row>
    <row r="1013" ht="25.8" customHeight="1">
      <c r="B1013" s="41" t="n"/>
      <c r="C1013" s="41" t="n"/>
      <c r="F1013" s="41" t="n"/>
      <c r="H1013" s="41" t="n"/>
    </row>
    <row r="1014" ht="25.8" customHeight="1">
      <c r="B1014" s="41" t="n"/>
      <c r="C1014" s="41" t="n"/>
      <c r="F1014" s="41" t="n"/>
      <c r="H1014" s="41" t="n"/>
    </row>
    <row r="1015" ht="25.8" customHeight="1">
      <c r="B1015" s="41" t="n"/>
      <c r="C1015" s="41" t="n"/>
      <c r="F1015" s="41" t="n"/>
      <c r="H1015" s="41" t="n"/>
    </row>
    <row r="1016" ht="25.8" customHeight="1">
      <c r="B1016" s="41" t="n"/>
      <c r="C1016" s="41" t="n"/>
      <c r="F1016" s="41" t="n"/>
      <c r="H1016" s="41" t="n"/>
    </row>
    <row r="1017" ht="25.8" customHeight="1">
      <c r="B1017" s="41" t="n"/>
      <c r="C1017" s="41" t="n"/>
      <c r="F1017" s="41" t="n"/>
      <c r="H1017" s="41" t="n"/>
    </row>
    <row r="1018" ht="25.8" customHeight="1">
      <c r="B1018" s="41" t="n"/>
      <c r="C1018" s="41" t="n"/>
      <c r="F1018" s="41" t="n"/>
      <c r="H1018" s="41" t="n"/>
    </row>
    <row r="1019" ht="25.8" customHeight="1">
      <c r="B1019" s="41" t="n"/>
      <c r="C1019" s="41" t="n"/>
      <c r="F1019" s="41" t="n"/>
      <c r="H1019" s="41" t="n"/>
    </row>
    <row r="1020" ht="25.8" customHeight="1">
      <c r="B1020" s="41" t="n"/>
      <c r="C1020" s="41" t="n"/>
      <c r="F1020" s="41" t="n"/>
      <c r="H1020" s="41" t="n"/>
    </row>
    <row r="1021" ht="25.8" customHeight="1">
      <c r="B1021" s="41" t="n"/>
      <c r="C1021" s="41" t="n"/>
      <c r="F1021" s="41" t="n"/>
      <c r="H1021" s="41" t="n"/>
    </row>
    <row r="1022" ht="25.8" customHeight="1">
      <c r="B1022" s="41" t="n"/>
      <c r="C1022" s="41" t="n"/>
      <c r="F1022" s="41" t="n"/>
      <c r="H1022" s="41" t="n"/>
    </row>
    <row r="1023" ht="25.8" customHeight="1">
      <c r="B1023" s="41" t="n"/>
      <c r="C1023" s="41" t="n"/>
      <c r="F1023" s="41" t="n"/>
      <c r="H1023" s="41" t="n"/>
    </row>
    <row r="1024" ht="25.8" customHeight="1">
      <c r="B1024" s="41" t="n"/>
      <c r="C1024" s="41" t="n"/>
      <c r="F1024" s="41" t="n"/>
      <c r="H1024" s="41" t="n"/>
    </row>
    <row r="1025" ht="25.8" customHeight="1">
      <c r="B1025" s="41" t="n"/>
      <c r="C1025" s="41" t="n"/>
      <c r="F1025" s="41" t="n"/>
      <c r="H1025" s="41" t="n"/>
    </row>
    <row r="1026" ht="25.8" customHeight="1">
      <c r="B1026" s="41" t="n"/>
      <c r="C1026" s="41" t="n"/>
      <c r="F1026" s="41" t="n"/>
      <c r="H1026" s="41" t="n"/>
    </row>
    <row r="1027" ht="25.8" customHeight="1">
      <c r="B1027" s="41" t="n"/>
      <c r="C1027" s="41" t="n"/>
      <c r="F1027" s="41" t="n"/>
      <c r="H1027" s="41" t="n"/>
    </row>
    <row r="1028" ht="25.8" customHeight="1">
      <c r="B1028" s="41" t="n"/>
      <c r="C1028" s="41" t="n"/>
      <c r="F1028" s="41" t="n"/>
      <c r="H1028" s="41" t="n"/>
    </row>
    <row r="1029" ht="25.8" customHeight="1">
      <c r="B1029" s="41" t="n"/>
      <c r="C1029" s="41" t="n"/>
      <c r="F1029" s="41" t="n"/>
      <c r="H1029" s="41" t="n"/>
    </row>
    <row r="1030" ht="25.8" customHeight="1">
      <c r="B1030" s="41" t="n"/>
      <c r="C1030" s="41" t="n"/>
      <c r="F1030" s="41" t="n"/>
      <c r="H1030" s="41" t="n"/>
    </row>
    <row r="1031" ht="25.8" customHeight="1">
      <c r="B1031" s="41" t="n"/>
      <c r="C1031" s="41" t="n"/>
      <c r="F1031" s="41" t="n"/>
      <c r="H1031" s="41" t="n"/>
    </row>
    <row r="1032" ht="25.8" customHeight="1">
      <c r="B1032" s="41" t="n"/>
      <c r="C1032" s="41" t="n"/>
      <c r="F1032" s="41" t="n"/>
      <c r="H1032" s="41" t="n"/>
    </row>
    <row r="1033" ht="25.8" customHeight="1">
      <c r="B1033" s="41" t="n"/>
      <c r="C1033" s="41" t="n"/>
      <c r="F1033" s="41" t="n"/>
      <c r="H1033" s="41" t="n"/>
    </row>
    <row r="1034" ht="25.8" customHeight="1">
      <c r="B1034" s="41" t="n"/>
      <c r="C1034" s="41" t="n"/>
      <c r="F1034" s="41" t="n"/>
      <c r="H1034" s="41" t="n"/>
    </row>
    <row r="1035" ht="25.8" customHeight="1">
      <c r="B1035" s="41" t="n"/>
      <c r="C1035" s="41" t="n"/>
      <c r="F1035" s="41" t="n"/>
      <c r="H1035" s="41" t="n"/>
    </row>
    <row r="1036" ht="25.8" customHeight="1">
      <c r="B1036" s="41" t="n"/>
      <c r="C1036" s="41" t="n"/>
      <c r="F1036" s="41" t="n"/>
      <c r="H1036" s="41" t="n"/>
    </row>
    <row r="1037" ht="25.8" customHeight="1">
      <c r="B1037" s="41" t="n"/>
      <c r="C1037" s="41" t="n"/>
      <c r="F1037" s="41" t="n"/>
      <c r="H1037" s="41" t="n"/>
    </row>
    <row r="1038" ht="25.8" customHeight="1">
      <c r="B1038" s="41" t="n"/>
      <c r="C1038" s="41" t="n"/>
      <c r="F1038" s="41" t="n"/>
      <c r="H1038" s="41" t="n"/>
    </row>
    <row r="1039" ht="25.8" customHeight="1">
      <c r="B1039" s="41" t="n"/>
      <c r="C1039" s="41" t="n"/>
      <c r="F1039" s="41" t="n"/>
      <c r="H1039" s="41" t="n"/>
    </row>
    <row r="1040" ht="25.8" customHeight="1">
      <c r="B1040" s="41" t="n"/>
      <c r="C1040" s="41" t="n"/>
      <c r="F1040" s="41" t="n"/>
      <c r="H1040" s="41" t="n"/>
    </row>
    <row r="1041" ht="25.8" customHeight="1">
      <c r="B1041" s="41" t="n"/>
      <c r="C1041" s="41" t="n"/>
      <c r="F1041" s="41" t="n"/>
      <c r="H1041" s="41" t="n"/>
    </row>
    <row r="1042" ht="25.8" customHeight="1">
      <c r="B1042" s="41" t="n"/>
      <c r="C1042" s="41" t="n"/>
      <c r="F1042" s="41" t="n"/>
      <c r="H1042" s="41" t="n"/>
    </row>
    <row r="1043" ht="25.8" customHeight="1">
      <c r="B1043" s="41" t="n"/>
      <c r="C1043" s="41" t="n"/>
      <c r="F1043" s="41" t="n"/>
      <c r="H1043" s="41" t="n"/>
    </row>
    <row r="1044" ht="25.8" customHeight="1">
      <c r="B1044" s="41" t="n"/>
      <c r="C1044" s="41" t="n"/>
      <c r="F1044" s="41" t="n"/>
      <c r="H1044" s="41" t="n"/>
    </row>
    <row r="1045" ht="25.8" customHeight="1">
      <c r="B1045" s="41" t="n"/>
      <c r="C1045" s="41" t="n"/>
      <c r="F1045" s="41" t="n"/>
      <c r="H1045" s="41" t="n"/>
    </row>
    <row r="1046" ht="25.8" customHeight="1">
      <c r="B1046" s="41" t="n"/>
      <c r="C1046" s="41" t="n"/>
      <c r="F1046" s="41" t="n"/>
      <c r="H1046" s="41" t="n"/>
    </row>
    <row r="1047" ht="25.8" customHeight="1">
      <c r="B1047" s="41" t="n"/>
      <c r="C1047" s="41" t="n"/>
      <c r="F1047" s="41" t="n"/>
      <c r="H1047" s="41" t="n"/>
    </row>
    <row r="1048" ht="25.8" customHeight="1">
      <c r="B1048" s="41" t="n"/>
      <c r="C1048" s="41" t="n"/>
      <c r="F1048" s="41" t="n"/>
      <c r="H1048" s="41" t="n"/>
    </row>
    <row r="1049" ht="25.8" customHeight="1">
      <c r="B1049" s="41" t="n"/>
      <c r="C1049" s="41" t="n"/>
      <c r="F1049" s="41" t="n"/>
      <c r="H1049" s="41" t="n"/>
    </row>
    <row r="1050" ht="25.8" customHeight="1">
      <c r="B1050" s="41" t="n"/>
      <c r="C1050" s="41" t="n"/>
      <c r="F1050" s="41" t="n"/>
      <c r="H1050" s="41" t="n"/>
    </row>
    <row r="1051" ht="25.8" customHeight="1">
      <c r="B1051" s="41" t="n"/>
      <c r="C1051" s="41" t="n"/>
      <c r="F1051" s="41" t="n"/>
      <c r="H1051" s="41" t="n"/>
    </row>
    <row r="1052" ht="25.8" customHeight="1">
      <c r="B1052" s="41" t="n"/>
      <c r="C1052" s="41" t="n"/>
      <c r="F1052" s="41" t="n"/>
      <c r="H1052" s="41" t="n"/>
    </row>
    <row r="1053" ht="25.8" customHeight="1">
      <c r="B1053" s="41" t="n"/>
      <c r="C1053" s="41" t="n"/>
      <c r="F1053" s="41" t="n"/>
      <c r="H1053" s="41" t="n"/>
    </row>
    <row r="1054" ht="25.8" customHeight="1">
      <c r="B1054" s="41" t="n"/>
      <c r="C1054" s="41" t="n"/>
      <c r="F1054" s="41" t="n"/>
      <c r="H1054" s="41" t="n"/>
    </row>
    <row r="1055" ht="25.8" customHeight="1">
      <c r="B1055" s="41" t="n"/>
      <c r="C1055" s="41" t="n"/>
      <c r="F1055" s="41" t="n"/>
      <c r="H1055" s="41" t="n"/>
    </row>
    <row r="1056" ht="25.8" customHeight="1">
      <c r="B1056" s="41" t="n"/>
      <c r="C1056" s="41" t="n"/>
      <c r="F1056" s="41" t="n"/>
      <c r="H1056" s="41" t="n"/>
    </row>
    <row r="1057" ht="25.8" customHeight="1">
      <c r="B1057" s="41" t="n"/>
      <c r="C1057" s="41" t="n"/>
      <c r="F1057" s="41" t="n"/>
      <c r="H1057" s="41" t="n"/>
    </row>
    <row r="1058" ht="25.8" customHeight="1">
      <c r="B1058" s="41" t="n"/>
      <c r="C1058" s="41" t="n"/>
      <c r="F1058" s="41" t="n"/>
      <c r="H1058" s="41" t="n"/>
    </row>
    <row r="1059" ht="25.8" customHeight="1">
      <c r="B1059" s="41" t="n"/>
      <c r="C1059" s="41" t="n"/>
      <c r="F1059" s="41" t="n"/>
      <c r="H1059" s="41" t="n"/>
    </row>
    <row r="1060" ht="25.8" customHeight="1">
      <c r="B1060" s="41" t="n"/>
      <c r="C1060" s="41" t="n"/>
      <c r="F1060" s="41" t="n"/>
      <c r="H1060" s="41" t="n"/>
    </row>
    <row r="1061" ht="25.8" customHeight="1">
      <c r="B1061" s="41" t="n"/>
      <c r="C1061" s="41" t="n"/>
      <c r="F1061" s="41" t="n"/>
      <c r="H1061" s="41" t="n"/>
    </row>
    <row r="1062" ht="25.8" customHeight="1">
      <c r="B1062" s="41" t="n"/>
      <c r="C1062" s="41" t="n"/>
      <c r="F1062" s="41" t="n"/>
      <c r="H1062" s="41" t="n"/>
    </row>
    <row r="1063" ht="25.8" customHeight="1">
      <c r="B1063" s="41" t="n"/>
      <c r="C1063" s="41" t="n"/>
      <c r="F1063" s="41" t="n"/>
      <c r="H1063" s="41" t="n"/>
    </row>
    <row r="1064" ht="25.8" customHeight="1">
      <c r="B1064" s="41" t="n"/>
      <c r="C1064" s="41" t="n"/>
      <c r="F1064" s="41" t="n"/>
      <c r="H1064" s="41" t="n"/>
    </row>
    <row r="1065" ht="25.8" customHeight="1">
      <c r="B1065" s="41" t="n"/>
      <c r="C1065" s="41" t="n"/>
      <c r="F1065" s="41" t="n"/>
      <c r="H1065" s="41" t="n"/>
    </row>
    <row r="1066" ht="25.8" customHeight="1">
      <c r="B1066" s="41" t="n"/>
      <c r="C1066" s="41" t="n"/>
      <c r="F1066" s="41" t="n"/>
      <c r="H1066" s="41" t="n"/>
    </row>
    <row r="1067" ht="25.8" customHeight="1">
      <c r="B1067" s="41" t="n"/>
      <c r="C1067" s="41" t="n"/>
      <c r="F1067" s="41" t="n"/>
      <c r="H1067" s="41" t="n"/>
    </row>
    <row r="1068" ht="25.8" customHeight="1">
      <c r="B1068" s="41" t="n"/>
      <c r="C1068" s="41" t="n"/>
      <c r="F1068" s="41" t="n"/>
      <c r="H1068" s="41" t="n"/>
    </row>
    <row r="1069" ht="25.8" customHeight="1">
      <c r="B1069" s="41" t="n"/>
      <c r="C1069" s="41" t="n"/>
      <c r="F1069" s="41" t="n"/>
      <c r="H1069" s="41" t="n"/>
    </row>
    <row r="1070" ht="25.8" customHeight="1">
      <c r="B1070" s="41" t="n"/>
      <c r="C1070" s="41" t="n"/>
      <c r="F1070" s="41" t="n"/>
      <c r="H1070" s="41" t="n"/>
    </row>
    <row r="1071" ht="25.8" customHeight="1">
      <c r="B1071" s="41" t="n"/>
      <c r="C1071" s="41" t="n"/>
      <c r="F1071" s="41" t="n"/>
      <c r="H1071" s="41" t="n"/>
    </row>
    <row r="1072" ht="25.8" customHeight="1">
      <c r="B1072" s="41" t="n"/>
      <c r="C1072" s="41" t="n"/>
      <c r="F1072" s="41" t="n"/>
      <c r="H1072" s="41" t="n"/>
    </row>
    <row r="1073" ht="25.8" customHeight="1">
      <c r="B1073" s="41" t="n"/>
      <c r="C1073" s="41" t="n"/>
      <c r="F1073" s="41" t="n"/>
      <c r="H1073" s="41" t="n"/>
    </row>
    <row r="1074" ht="25.8" customHeight="1">
      <c r="B1074" s="41" t="n"/>
      <c r="C1074" s="41" t="n"/>
      <c r="F1074" s="41" t="n"/>
      <c r="H1074" s="41" t="n"/>
    </row>
    <row r="1075" ht="25.8" customHeight="1">
      <c r="B1075" s="41" t="n"/>
      <c r="C1075" s="41" t="n"/>
      <c r="F1075" s="41" t="n"/>
      <c r="H1075" s="41" t="n"/>
    </row>
    <row r="1076" ht="25.8" customHeight="1">
      <c r="B1076" s="41" t="n"/>
      <c r="C1076" s="41" t="n"/>
      <c r="F1076" s="41" t="n"/>
      <c r="H1076" s="41" t="n"/>
    </row>
    <row r="1077" ht="25.8" customHeight="1">
      <c r="B1077" s="41" t="n"/>
      <c r="C1077" s="41" t="n"/>
      <c r="F1077" s="41" t="n"/>
      <c r="H1077" s="41" t="n"/>
    </row>
    <row r="1078" ht="25.8" customHeight="1">
      <c r="B1078" s="41" t="n"/>
      <c r="C1078" s="41" t="n"/>
      <c r="F1078" s="41" t="n"/>
      <c r="H1078" s="41" t="n"/>
    </row>
    <row r="1079" ht="25.8" customHeight="1">
      <c r="B1079" s="41" t="n"/>
      <c r="C1079" s="41" t="n"/>
      <c r="F1079" s="41" t="n"/>
      <c r="H1079" s="41" t="n"/>
    </row>
    <row r="1080" ht="25.8" customHeight="1">
      <c r="B1080" s="41" t="n"/>
      <c r="C1080" s="41" t="n"/>
      <c r="F1080" s="41" t="n"/>
      <c r="H1080" s="41" t="n"/>
    </row>
    <row r="1081" ht="25.8" customHeight="1">
      <c r="B1081" s="41" t="n"/>
      <c r="C1081" s="41" t="n"/>
      <c r="F1081" s="41" t="n"/>
      <c r="H1081" s="41" t="n"/>
    </row>
    <row r="1082" ht="25.8" customHeight="1">
      <c r="B1082" s="41" t="n"/>
      <c r="C1082" s="41" t="n"/>
      <c r="F1082" s="41" t="n"/>
      <c r="H1082" s="41" t="n"/>
    </row>
    <row r="1083" ht="25.8" customHeight="1">
      <c r="B1083" s="41" t="n"/>
      <c r="C1083" s="41" t="n"/>
      <c r="F1083" s="41" t="n"/>
      <c r="H1083" s="41" t="n"/>
    </row>
    <row r="1084" ht="25.8" customHeight="1">
      <c r="B1084" s="41" t="n"/>
      <c r="C1084" s="41" t="n"/>
      <c r="F1084" s="41" t="n"/>
      <c r="H1084" s="41" t="n"/>
    </row>
    <row r="1085" ht="25.8" customHeight="1">
      <c r="B1085" s="41" t="n"/>
      <c r="C1085" s="41" t="n"/>
      <c r="F1085" s="41" t="n"/>
      <c r="H1085" s="41" t="n"/>
    </row>
    <row r="1086" ht="25.8" customHeight="1">
      <c r="B1086" s="41" t="n"/>
      <c r="C1086" s="41" t="n"/>
      <c r="F1086" s="41" t="n"/>
      <c r="H1086" s="41" t="n"/>
    </row>
    <row r="1087" ht="25.8" customHeight="1">
      <c r="B1087" s="41" t="n"/>
      <c r="C1087" s="41" t="n"/>
      <c r="F1087" s="41" t="n"/>
      <c r="H1087" s="41" t="n"/>
    </row>
    <row r="1088" ht="25.8" customHeight="1">
      <c r="B1088" s="41" t="n"/>
      <c r="C1088" s="41" t="n"/>
      <c r="F1088" s="41" t="n"/>
      <c r="H1088" s="41" t="n"/>
    </row>
    <row r="1089" ht="25.8" customHeight="1">
      <c r="B1089" s="41" t="n"/>
      <c r="C1089" s="41" t="n"/>
      <c r="F1089" s="41" t="n"/>
      <c r="H1089" s="41" t="n"/>
    </row>
    <row r="1090" ht="25.8" customHeight="1">
      <c r="B1090" s="41" t="n"/>
      <c r="C1090" s="41" t="n"/>
      <c r="F1090" s="41" t="n"/>
      <c r="H1090" s="41" t="n"/>
    </row>
    <row r="1091" ht="25.8" customHeight="1">
      <c r="B1091" s="41" t="n"/>
      <c r="C1091" s="41" t="n"/>
      <c r="F1091" s="41" t="n"/>
      <c r="H1091" s="41" t="n"/>
    </row>
    <row r="1092" ht="25.8" customHeight="1">
      <c r="B1092" s="41" t="n"/>
      <c r="C1092" s="41" t="n"/>
      <c r="F1092" s="41" t="n"/>
      <c r="H1092" s="41" t="n"/>
    </row>
    <row r="1093" ht="25.8" customHeight="1">
      <c r="B1093" s="41" t="n"/>
      <c r="C1093" s="41" t="n"/>
      <c r="F1093" s="41" t="n"/>
      <c r="H1093" s="41" t="n"/>
    </row>
    <row r="1094" ht="25.8" customHeight="1">
      <c r="B1094" s="41" t="n"/>
      <c r="C1094" s="41" t="n"/>
      <c r="F1094" s="41" t="n"/>
      <c r="H1094" s="41" t="n"/>
    </row>
    <row r="1095" ht="25.8" customHeight="1">
      <c r="B1095" s="41" t="n"/>
      <c r="C1095" s="41" t="n"/>
      <c r="F1095" s="41" t="n"/>
      <c r="H1095" s="41" t="n"/>
    </row>
    <row r="1096" ht="25.8" customHeight="1">
      <c r="B1096" s="41" t="n"/>
      <c r="C1096" s="41" t="n"/>
      <c r="F1096" s="41" t="n"/>
      <c r="H1096" s="41" t="n"/>
    </row>
    <row r="1097" ht="25.8" customHeight="1">
      <c r="B1097" s="41" t="n"/>
      <c r="C1097" s="41" t="n"/>
      <c r="F1097" s="41" t="n"/>
      <c r="H1097" s="41" t="n"/>
    </row>
    <row r="1098" ht="25.8" customHeight="1">
      <c r="B1098" s="41" t="n"/>
      <c r="C1098" s="41" t="n"/>
      <c r="F1098" s="41" t="n"/>
      <c r="H1098" s="41" t="n"/>
    </row>
    <row r="1099" ht="25.8" customHeight="1">
      <c r="B1099" s="41" t="n"/>
      <c r="C1099" s="41" t="n"/>
      <c r="F1099" s="41" t="n"/>
      <c r="H1099" s="41" t="n"/>
    </row>
    <row r="1100" ht="25.8" customHeight="1">
      <c r="B1100" s="41" t="n"/>
      <c r="C1100" s="41" t="n"/>
      <c r="F1100" s="41" t="n"/>
      <c r="H1100" s="41" t="n"/>
    </row>
    <row r="1101" ht="25.8" customHeight="1">
      <c r="B1101" s="41" t="n"/>
      <c r="C1101" s="41" t="n"/>
      <c r="F1101" s="41" t="n"/>
      <c r="H1101" s="41" t="n"/>
    </row>
    <row r="1102" ht="25.8" customHeight="1">
      <c r="B1102" s="41" t="n"/>
      <c r="C1102" s="41" t="n"/>
      <c r="F1102" s="41" t="n"/>
      <c r="H1102" s="41" t="n"/>
    </row>
    <row r="1103" ht="25.8" customHeight="1">
      <c r="B1103" s="41" t="n"/>
      <c r="C1103" s="41" t="n"/>
      <c r="F1103" s="41" t="n"/>
      <c r="H1103" s="41" t="n"/>
    </row>
    <row r="1104" ht="25.8" customHeight="1">
      <c r="B1104" s="41" t="n"/>
      <c r="C1104" s="41" t="n"/>
      <c r="F1104" s="41" t="n"/>
      <c r="H1104" s="41" t="n"/>
    </row>
    <row r="1105" ht="25.8" customHeight="1">
      <c r="B1105" s="41" t="n"/>
      <c r="C1105" s="41" t="n"/>
      <c r="F1105" s="41" t="n"/>
      <c r="H1105" s="41" t="n"/>
    </row>
    <row r="1106" ht="25.8" customHeight="1">
      <c r="B1106" s="41" t="n"/>
      <c r="C1106" s="41" t="n"/>
      <c r="F1106" s="41" t="n"/>
      <c r="H1106" s="41" t="n"/>
    </row>
    <row r="1107" ht="25.8" customHeight="1">
      <c r="B1107" s="41" t="n"/>
      <c r="C1107" s="41" t="n"/>
      <c r="F1107" s="41" t="n"/>
      <c r="H1107" s="41" t="n"/>
    </row>
    <row r="1108" ht="25.8" customHeight="1">
      <c r="B1108" s="41" t="n"/>
      <c r="C1108" s="41" t="n"/>
      <c r="F1108" s="41" t="n"/>
      <c r="H1108" s="41" t="n"/>
    </row>
    <row r="1109" ht="25.8" customHeight="1">
      <c r="B1109" s="41" t="n"/>
      <c r="C1109" s="41" t="n"/>
      <c r="F1109" s="41" t="n"/>
      <c r="H1109" s="41" t="n"/>
    </row>
    <row r="1110" ht="25.8" customHeight="1">
      <c r="B1110" s="41" t="n"/>
      <c r="C1110" s="41" t="n"/>
      <c r="F1110" s="41" t="n"/>
      <c r="H1110" s="41" t="n"/>
    </row>
    <row r="1111" ht="25.8" customHeight="1">
      <c r="B1111" s="41" t="n"/>
      <c r="C1111" s="41" t="n"/>
      <c r="F1111" s="41" t="n"/>
      <c r="H1111" s="41" t="n"/>
    </row>
    <row r="1112" ht="25.8" customHeight="1">
      <c r="B1112" s="41" t="n"/>
      <c r="C1112" s="41" t="n"/>
      <c r="F1112" s="41" t="n"/>
      <c r="H1112" s="41" t="n"/>
    </row>
    <row r="1113" ht="25.8" customHeight="1">
      <c r="B1113" s="41" t="n"/>
      <c r="C1113" s="41" t="n"/>
      <c r="F1113" s="41" t="n"/>
      <c r="H1113" s="41" t="n"/>
    </row>
    <row r="1114" ht="25.8" customHeight="1">
      <c r="B1114" s="41" t="n"/>
      <c r="C1114" s="41" t="n"/>
      <c r="F1114" s="41" t="n"/>
      <c r="H1114" s="41" t="n"/>
    </row>
    <row r="1115" ht="25.8" customHeight="1">
      <c r="B1115" s="41" t="n"/>
      <c r="C1115" s="41" t="n"/>
      <c r="F1115" s="41" t="n"/>
      <c r="H1115" s="41" t="n"/>
    </row>
    <row r="1116" ht="25.8" customHeight="1">
      <c r="B1116" s="41" t="n"/>
      <c r="C1116" s="41" t="n"/>
      <c r="F1116" s="41" t="n"/>
      <c r="H1116" s="41" t="n"/>
    </row>
    <row r="1117" ht="25.8" customHeight="1">
      <c r="B1117" s="41" t="n"/>
      <c r="C1117" s="41" t="n"/>
      <c r="F1117" s="41" t="n"/>
      <c r="H1117" s="41" t="n"/>
    </row>
    <row r="1118" ht="25.8" customHeight="1">
      <c r="B1118" s="41" t="n"/>
      <c r="C1118" s="41" t="n"/>
      <c r="F1118" s="41" t="n"/>
      <c r="H1118" s="41" t="n"/>
    </row>
    <row r="1119" ht="25.8" customHeight="1">
      <c r="B1119" s="41" t="n"/>
      <c r="C1119" s="41" t="n"/>
      <c r="F1119" s="41" t="n"/>
      <c r="H1119" s="41" t="n"/>
    </row>
    <row r="1120" ht="25.8" customHeight="1">
      <c r="B1120" s="41" t="n"/>
      <c r="C1120" s="41" t="n"/>
      <c r="F1120" s="41" t="n"/>
      <c r="H1120" s="41" t="n"/>
    </row>
    <row r="1121" ht="25.8" customHeight="1">
      <c r="B1121" s="41" t="n"/>
      <c r="C1121" s="41" t="n"/>
      <c r="F1121" s="41" t="n"/>
      <c r="H1121" s="41" t="n"/>
    </row>
    <row r="1122" ht="25.8" customHeight="1">
      <c r="B1122" s="41" t="n"/>
      <c r="C1122" s="41" t="n"/>
      <c r="F1122" s="41" t="n"/>
      <c r="H1122" s="41" t="n"/>
    </row>
    <row r="1123" ht="25.8" customHeight="1">
      <c r="B1123" s="41" t="n"/>
      <c r="C1123" s="41" t="n"/>
      <c r="F1123" s="41" t="n"/>
      <c r="H1123" s="41" t="n"/>
    </row>
    <row r="1124" ht="25.8" customHeight="1">
      <c r="B1124" s="41" t="n"/>
      <c r="C1124" s="41" t="n"/>
      <c r="F1124" s="41" t="n"/>
      <c r="H1124" s="41" t="n"/>
    </row>
    <row r="1125" ht="25.8" customHeight="1">
      <c r="B1125" s="41" t="n"/>
      <c r="C1125" s="41" t="n"/>
      <c r="F1125" s="41" t="n"/>
      <c r="H1125" s="41" t="n"/>
    </row>
    <row r="1126" ht="25.8" customHeight="1">
      <c r="B1126" s="41" t="n"/>
      <c r="C1126" s="41" t="n"/>
      <c r="F1126" s="41" t="n"/>
      <c r="H1126" s="41" t="n"/>
    </row>
    <row r="1127" ht="25.8" customHeight="1">
      <c r="B1127" s="41" t="n"/>
      <c r="C1127" s="41" t="n"/>
      <c r="F1127" s="41" t="n"/>
      <c r="H1127" s="41" t="n"/>
    </row>
    <row r="1128" ht="25.8" customHeight="1">
      <c r="B1128" s="41" t="n"/>
      <c r="C1128" s="41" t="n"/>
      <c r="F1128" s="41" t="n"/>
      <c r="H1128" s="41" t="n"/>
    </row>
    <row r="1129" ht="25.8" customHeight="1">
      <c r="B1129" s="41" t="n"/>
      <c r="C1129" s="41" t="n"/>
      <c r="F1129" s="41" t="n"/>
      <c r="H1129" s="41" t="n"/>
    </row>
    <row r="1130" ht="25.8" customHeight="1">
      <c r="B1130" s="41" t="n"/>
      <c r="C1130" s="41" t="n"/>
      <c r="F1130" s="41" t="n"/>
      <c r="H1130" s="41" t="n"/>
    </row>
    <row r="1131" ht="25.8" customHeight="1">
      <c r="B1131" s="41" t="n"/>
      <c r="C1131" s="41" t="n"/>
      <c r="F1131" s="41" t="n"/>
      <c r="H1131" s="41" t="n"/>
    </row>
    <row r="1132" ht="25.8" customHeight="1">
      <c r="B1132" s="41" t="n"/>
      <c r="C1132" s="41" t="n"/>
      <c r="F1132" s="41" t="n"/>
      <c r="H1132" s="41" t="n"/>
    </row>
    <row r="1133" ht="25.8" customHeight="1">
      <c r="B1133" s="41" t="n"/>
      <c r="C1133" s="41" t="n"/>
      <c r="F1133" s="41" t="n"/>
      <c r="H1133" s="41" t="n"/>
    </row>
    <row r="1134" ht="25.8" customHeight="1">
      <c r="B1134" s="41" t="n"/>
      <c r="C1134" s="41" t="n"/>
      <c r="F1134" s="41" t="n"/>
      <c r="H1134" s="41" t="n"/>
    </row>
    <row r="1135" ht="25.8" customHeight="1">
      <c r="B1135" s="41" t="n"/>
      <c r="C1135" s="41" t="n"/>
      <c r="F1135" s="41" t="n"/>
      <c r="H1135" s="41" t="n"/>
    </row>
    <row r="1136" ht="25.8" customHeight="1">
      <c r="B1136" s="41" t="n"/>
      <c r="C1136" s="41" t="n"/>
      <c r="F1136" s="41" t="n"/>
      <c r="H1136" s="41" t="n"/>
    </row>
    <row r="1137" ht="25.8" customHeight="1">
      <c r="B1137" s="41" t="n"/>
      <c r="C1137" s="41" t="n"/>
      <c r="F1137" s="41" t="n"/>
      <c r="H1137" s="41" t="n"/>
    </row>
    <row r="1138" ht="25.8" customHeight="1">
      <c r="B1138" s="41" t="n"/>
      <c r="C1138" s="41" t="n"/>
      <c r="F1138" s="41" t="n"/>
      <c r="H1138" s="41" t="n"/>
    </row>
    <row r="1139" ht="25.8" customHeight="1">
      <c r="B1139" s="41" t="n"/>
      <c r="C1139" s="41" t="n"/>
      <c r="F1139" s="41" t="n"/>
      <c r="H1139" s="41" t="n"/>
    </row>
    <row r="1140" ht="25.8" customHeight="1">
      <c r="B1140" s="41" t="n"/>
      <c r="C1140" s="41" t="n"/>
      <c r="F1140" s="41" t="n"/>
      <c r="H1140" s="41" t="n"/>
    </row>
    <row r="1141" ht="25.8" customHeight="1">
      <c r="B1141" s="41" t="n"/>
      <c r="C1141" s="41" t="n"/>
      <c r="F1141" s="41" t="n"/>
      <c r="H1141" s="41" t="n"/>
    </row>
    <row r="1142" ht="25.8" customHeight="1">
      <c r="B1142" s="41" t="n"/>
      <c r="C1142" s="41" t="n"/>
      <c r="F1142" s="41" t="n"/>
      <c r="H1142" s="41" t="n"/>
    </row>
    <row r="1143" ht="25.8" customHeight="1">
      <c r="B1143" s="41" t="n"/>
      <c r="C1143" s="41" t="n"/>
      <c r="F1143" s="41" t="n"/>
      <c r="H1143" s="41" t="n"/>
    </row>
    <row r="1144" ht="25.8" customHeight="1">
      <c r="B1144" s="41" t="n"/>
      <c r="C1144" s="41" t="n"/>
      <c r="F1144" s="41" t="n"/>
      <c r="H1144" s="41" t="n"/>
    </row>
    <row r="1145" ht="25.8" customHeight="1">
      <c r="B1145" s="41" t="n"/>
      <c r="C1145" s="41" t="n"/>
      <c r="F1145" s="41" t="n"/>
      <c r="H1145" s="41" t="n"/>
    </row>
    <row r="1146" ht="25.8" customHeight="1">
      <c r="B1146" s="41" t="n"/>
      <c r="C1146" s="41" t="n"/>
      <c r="F1146" s="41" t="n"/>
      <c r="H1146" s="41" t="n"/>
    </row>
    <row r="1147" ht="25.8" customHeight="1">
      <c r="B1147" s="41" t="n"/>
      <c r="C1147" s="41" t="n"/>
      <c r="F1147" s="41" t="n"/>
      <c r="H1147" s="41" t="n"/>
    </row>
    <row r="1148" ht="25.8" customHeight="1">
      <c r="B1148" s="41" t="n"/>
      <c r="C1148" s="41" t="n"/>
      <c r="F1148" s="41" t="n"/>
      <c r="H1148" s="41" t="n"/>
    </row>
    <row r="1149" ht="25.8" customHeight="1">
      <c r="B1149" s="41" t="n"/>
      <c r="C1149" s="41" t="n"/>
      <c r="F1149" s="41" t="n"/>
      <c r="H1149" s="41" t="n"/>
    </row>
    <row r="1150" ht="25.8" customHeight="1">
      <c r="B1150" s="41" t="n"/>
      <c r="C1150" s="41" t="n"/>
      <c r="F1150" s="41" t="n"/>
      <c r="H1150" s="41" t="n"/>
    </row>
    <row r="1151" ht="25.8" customHeight="1">
      <c r="B1151" s="41" t="n"/>
      <c r="C1151" s="41" t="n"/>
      <c r="F1151" s="41" t="n"/>
      <c r="H1151" s="41" t="n"/>
    </row>
    <row r="1152" ht="25.8" customHeight="1">
      <c r="B1152" s="41" t="n"/>
      <c r="C1152" s="41" t="n"/>
      <c r="F1152" s="41" t="n"/>
      <c r="H1152" s="41" t="n"/>
    </row>
    <row r="1153" ht="25.8" customHeight="1">
      <c r="B1153" s="41" t="n"/>
      <c r="C1153" s="41" t="n"/>
      <c r="F1153" s="41" t="n"/>
      <c r="H1153" s="41" t="n"/>
    </row>
    <row r="1154" ht="25.8" customHeight="1">
      <c r="B1154" s="41" t="n"/>
      <c r="C1154" s="41" t="n"/>
      <c r="F1154" s="41" t="n"/>
      <c r="H1154" s="41" t="n"/>
    </row>
    <row r="1155" ht="25.8" customHeight="1">
      <c r="B1155" s="41" t="n"/>
      <c r="C1155" s="41" t="n"/>
      <c r="F1155" s="41" t="n"/>
      <c r="H1155" s="41" t="n"/>
    </row>
    <row r="1156" ht="25.8" customHeight="1">
      <c r="B1156" s="41" t="n"/>
      <c r="C1156" s="41" t="n"/>
      <c r="F1156" s="41" t="n"/>
      <c r="H1156" s="41" t="n"/>
    </row>
    <row r="1157" ht="25.8" customHeight="1">
      <c r="B1157" s="41" t="n"/>
      <c r="C1157" s="41" t="n"/>
      <c r="F1157" s="41" t="n"/>
      <c r="H1157" s="41" t="n"/>
    </row>
    <row r="1158" ht="25.8" customHeight="1">
      <c r="B1158" s="41" t="n"/>
      <c r="C1158" s="41" t="n"/>
      <c r="F1158" s="41" t="n"/>
      <c r="H1158" s="41" t="n"/>
    </row>
    <row r="1159" ht="25.8" customHeight="1">
      <c r="B1159" s="41" t="n"/>
      <c r="C1159" s="41" t="n"/>
      <c r="F1159" s="41" t="n"/>
      <c r="H1159" s="41" t="n"/>
    </row>
    <row r="1160" ht="25.8" customHeight="1">
      <c r="B1160" s="41" t="n"/>
      <c r="C1160" s="41" t="n"/>
      <c r="F1160" s="41" t="n"/>
      <c r="H1160" s="41" t="n"/>
    </row>
    <row r="1161" ht="25.8" customHeight="1">
      <c r="B1161" s="41" t="n"/>
      <c r="C1161" s="41" t="n"/>
      <c r="F1161" s="41" t="n"/>
      <c r="H1161" s="41" t="n"/>
    </row>
    <row r="1162" ht="25.8" customHeight="1">
      <c r="B1162" s="41" t="n"/>
      <c r="C1162" s="41" t="n"/>
      <c r="F1162" s="41" t="n"/>
      <c r="H1162" s="41" t="n"/>
    </row>
    <row r="1163" ht="25.8" customHeight="1">
      <c r="B1163" s="41" t="n"/>
      <c r="C1163" s="41" t="n"/>
      <c r="F1163" s="41" t="n"/>
      <c r="H1163" s="41" t="n"/>
    </row>
    <row r="1164" ht="25.8" customHeight="1">
      <c r="B1164" s="41" t="n"/>
      <c r="C1164" s="41" t="n"/>
      <c r="F1164" s="41" t="n"/>
      <c r="H1164" s="41" t="n"/>
    </row>
    <row r="1165" ht="25.8" customHeight="1">
      <c r="B1165" s="41" t="n"/>
      <c r="C1165" s="41" t="n"/>
      <c r="F1165" s="41" t="n"/>
      <c r="H1165" s="41" t="n"/>
    </row>
    <row r="1166" ht="25.8" customHeight="1">
      <c r="B1166" s="41" t="n"/>
      <c r="C1166" s="41" t="n"/>
      <c r="F1166" s="41" t="n"/>
      <c r="H1166" s="41" t="n"/>
    </row>
    <row r="1167" ht="25.8" customHeight="1">
      <c r="B1167" s="41" t="n"/>
      <c r="C1167" s="41" t="n"/>
      <c r="F1167" s="41" t="n"/>
      <c r="H1167" s="41" t="n"/>
    </row>
    <row r="1168" ht="25.8" customHeight="1">
      <c r="B1168" s="41" t="n"/>
      <c r="C1168" s="41" t="n"/>
      <c r="F1168" s="41" t="n"/>
      <c r="H1168" s="41" t="n"/>
    </row>
    <row r="1169" ht="25.8" customHeight="1">
      <c r="B1169" s="41" t="n"/>
      <c r="C1169" s="41" t="n"/>
      <c r="F1169" s="41" t="n"/>
      <c r="H1169" s="41" t="n"/>
    </row>
    <row r="1170" ht="25.8" customHeight="1">
      <c r="B1170" s="41" t="n"/>
      <c r="C1170" s="41" t="n"/>
      <c r="F1170" s="41" t="n"/>
      <c r="H1170" s="41" t="n"/>
    </row>
    <row r="1171" ht="25.8" customHeight="1">
      <c r="B1171" s="41" t="n"/>
      <c r="C1171" s="41" t="n"/>
      <c r="F1171" s="41" t="n"/>
      <c r="H1171" s="41" t="n"/>
    </row>
    <row r="1172" ht="25.8" customHeight="1">
      <c r="B1172" s="41" t="n"/>
      <c r="C1172" s="41" t="n"/>
      <c r="F1172" s="41" t="n"/>
      <c r="H1172" s="41" t="n"/>
    </row>
    <row r="1173" ht="25.8" customHeight="1">
      <c r="B1173" s="41" t="n"/>
      <c r="C1173" s="41" t="n"/>
      <c r="F1173" s="41" t="n"/>
      <c r="H1173" s="41" t="n"/>
    </row>
    <row r="1174" ht="25.8" customHeight="1">
      <c r="B1174" s="41" t="n"/>
      <c r="C1174" s="41" t="n"/>
      <c r="F1174" s="41" t="n"/>
      <c r="H1174" s="41" t="n"/>
    </row>
    <row r="1175" ht="25.8" customHeight="1">
      <c r="B1175" s="41" t="n"/>
      <c r="C1175" s="41" t="n"/>
      <c r="F1175" s="41" t="n"/>
      <c r="H1175" s="41" t="n"/>
    </row>
    <row r="1176" ht="25.8" customHeight="1">
      <c r="B1176" s="41" t="n"/>
      <c r="C1176" s="41" t="n"/>
      <c r="F1176" s="41" t="n"/>
      <c r="H1176" s="41" t="n"/>
    </row>
    <row r="1177" ht="25.8" customHeight="1">
      <c r="B1177" s="41" t="n"/>
      <c r="C1177" s="41" t="n"/>
      <c r="F1177" s="41" t="n"/>
      <c r="H1177" s="41" t="n"/>
    </row>
    <row r="1178" ht="25.8" customHeight="1">
      <c r="B1178" s="41" t="n"/>
      <c r="C1178" s="41" t="n"/>
      <c r="F1178" s="41" t="n"/>
      <c r="H1178" s="41" t="n"/>
    </row>
    <row r="1179" ht="25.8" customHeight="1">
      <c r="B1179" s="41" t="n"/>
      <c r="C1179" s="41" t="n"/>
      <c r="F1179" s="41" t="n"/>
      <c r="H1179" s="41" t="n"/>
    </row>
    <row r="1180" ht="25.8" customHeight="1">
      <c r="B1180" s="41" t="n"/>
      <c r="C1180" s="41" t="n"/>
      <c r="F1180" s="41" t="n"/>
      <c r="H1180" s="41" t="n"/>
    </row>
    <row r="1181" ht="25.8" customHeight="1">
      <c r="B1181" s="41" t="n"/>
      <c r="C1181" s="41" t="n"/>
      <c r="F1181" s="41" t="n"/>
      <c r="H1181" s="41" t="n"/>
    </row>
    <row r="1182" ht="25.8" customHeight="1">
      <c r="B1182" s="41" t="n"/>
      <c r="C1182" s="41" t="n"/>
      <c r="F1182" s="41" t="n"/>
      <c r="H1182" s="41" t="n"/>
    </row>
    <row r="1183" ht="25.8" customHeight="1">
      <c r="B1183" s="41" t="n"/>
      <c r="C1183" s="41" t="n"/>
      <c r="F1183" s="41" t="n"/>
      <c r="H1183" s="41" t="n"/>
    </row>
    <row r="1184" ht="25.8" customHeight="1">
      <c r="B1184" s="41" t="n"/>
      <c r="C1184" s="41" t="n"/>
      <c r="F1184" s="41" t="n"/>
      <c r="H1184" s="41" t="n"/>
    </row>
    <row r="1185" ht="25.8" customHeight="1">
      <c r="B1185" s="41" t="n"/>
      <c r="C1185" s="41" t="n"/>
      <c r="F1185" s="41" t="n"/>
      <c r="H1185" s="41" t="n"/>
    </row>
    <row r="1186" ht="25.8" customHeight="1">
      <c r="B1186" s="41" t="n"/>
      <c r="C1186" s="41" t="n"/>
      <c r="F1186" s="41" t="n"/>
      <c r="H1186" s="41" t="n"/>
    </row>
    <row r="1187" ht="25.8" customHeight="1">
      <c r="B1187" s="41" t="n"/>
      <c r="C1187" s="41" t="n"/>
      <c r="F1187" s="41" t="n"/>
      <c r="H1187" s="41" t="n"/>
    </row>
    <row r="1188" ht="25.8" customHeight="1">
      <c r="B1188" s="41" t="n"/>
      <c r="C1188" s="41" t="n"/>
      <c r="F1188" s="41" t="n"/>
      <c r="H1188" s="41" t="n"/>
    </row>
    <row r="1189" ht="25.8" customHeight="1">
      <c r="B1189" s="41" t="n"/>
      <c r="C1189" s="41" t="n"/>
      <c r="F1189" s="41" t="n"/>
      <c r="H1189" s="41" t="n"/>
    </row>
    <row r="1190" ht="25.8" customHeight="1">
      <c r="B1190" s="41" t="n"/>
      <c r="C1190" s="41" t="n"/>
      <c r="F1190" s="41" t="n"/>
      <c r="H1190" s="41" t="n"/>
    </row>
    <row r="1191" ht="25.8" customHeight="1">
      <c r="B1191" s="41" t="n"/>
      <c r="C1191" s="41" t="n"/>
      <c r="F1191" s="41" t="n"/>
      <c r="H1191" s="41" t="n"/>
    </row>
    <row r="1192" ht="25.8" customHeight="1">
      <c r="B1192" s="41" t="n"/>
      <c r="C1192" s="41" t="n"/>
      <c r="F1192" s="41" t="n"/>
      <c r="H1192" s="41" t="n"/>
    </row>
    <row r="1193" ht="25.8" customHeight="1">
      <c r="B1193" s="41" t="n"/>
      <c r="C1193" s="41" t="n"/>
      <c r="F1193" s="41" t="n"/>
      <c r="H1193" s="41" t="n"/>
    </row>
    <row r="1194" ht="25.8" customHeight="1">
      <c r="B1194" s="41" t="n"/>
      <c r="C1194" s="41" t="n"/>
      <c r="F1194" s="41" t="n"/>
      <c r="H1194" s="41" t="n"/>
    </row>
    <row r="1195" ht="25.8" customHeight="1">
      <c r="B1195" s="41" t="n"/>
      <c r="C1195" s="41" t="n"/>
      <c r="F1195" s="41" t="n"/>
      <c r="H1195" s="41" t="n"/>
    </row>
    <row r="1196" ht="25.8" customHeight="1">
      <c r="B1196" s="41" t="n"/>
      <c r="C1196" s="41" t="n"/>
      <c r="F1196" s="41" t="n"/>
      <c r="H1196" s="41" t="n"/>
    </row>
    <row r="1197" ht="25.8" customHeight="1">
      <c r="B1197" s="41" t="n"/>
      <c r="C1197" s="41" t="n"/>
      <c r="F1197" s="41" t="n"/>
      <c r="H1197" s="41" t="n"/>
    </row>
    <row r="1198" ht="25.8" customHeight="1">
      <c r="B1198" s="41" t="n"/>
      <c r="C1198" s="41" t="n"/>
      <c r="F1198" s="41" t="n"/>
      <c r="H1198" s="41" t="n"/>
    </row>
    <row r="1199" ht="25.8" customHeight="1">
      <c r="B1199" s="41" t="n"/>
      <c r="C1199" s="41" t="n"/>
      <c r="F1199" s="41" t="n"/>
      <c r="H1199" s="41" t="n"/>
    </row>
    <row r="1200" ht="25.8" customHeight="1">
      <c r="B1200" s="41" t="n"/>
      <c r="C1200" s="41" t="n"/>
      <c r="F1200" s="41" t="n"/>
      <c r="H1200" s="41" t="n"/>
    </row>
    <row r="1201" ht="25.8" customHeight="1">
      <c r="B1201" s="41" t="n"/>
      <c r="C1201" s="41" t="n"/>
      <c r="F1201" s="41" t="n"/>
      <c r="H1201" s="41" t="n"/>
    </row>
    <row r="1202" ht="25.8" customHeight="1">
      <c r="B1202" s="41" t="n"/>
      <c r="C1202" s="41" t="n"/>
      <c r="F1202" s="41" t="n"/>
      <c r="H1202" s="41" t="n"/>
    </row>
    <row r="1203" ht="25.8" customHeight="1">
      <c r="B1203" s="41" t="n"/>
      <c r="C1203" s="41" t="n"/>
      <c r="F1203" s="41" t="n"/>
      <c r="H1203" s="41" t="n"/>
    </row>
    <row r="1204" ht="25.8" customHeight="1">
      <c r="B1204" s="41" t="n"/>
      <c r="C1204" s="41" t="n"/>
      <c r="F1204" s="41" t="n"/>
      <c r="H1204" s="41" t="n"/>
    </row>
    <row r="1205" ht="25.8" customHeight="1">
      <c r="B1205" s="41" t="n"/>
      <c r="C1205" s="41" t="n"/>
      <c r="F1205" s="41" t="n"/>
      <c r="H1205" s="41" t="n"/>
    </row>
    <row r="1206" ht="25.8" customHeight="1">
      <c r="B1206" s="41" t="n"/>
      <c r="C1206" s="41" t="n"/>
      <c r="F1206" s="41" t="n"/>
      <c r="H1206" s="41" t="n"/>
    </row>
    <row r="1207" ht="25.8" customHeight="1">
      <c r="B1207" s="41" t="n"/>
      <c r="C1207" s="41" t="n"/>
      <c r="F1207" s="41" t="n"/>
      <c r="H1207" s="41" t="n"/>
    </row>
    <row r="1208" ht="25.8" customHeight="1">
      <c r="B1208" s="41" t="n"/>
      <c r="C1208" s="41" t="n"/>
      <c r="F1208" s="41" t="n"/>
      <c r="H1208" s="41" t="n"/>
    </row>
    <row r="1209" ht="25.8" customHeight="1">
      <c r="B1209" s="41" t="n"/>
      <c r="C1209" s="41" t="n"/>
      <c r="F1209" s="41" t="n"/>
      <c r="H1209" s="41" t="n"/>
    </row>
    <row r="1210" ht="25.8" customHeight="1">
      <c r="B1210" s="41" t="n"/>
      <c r="C1210" s="41" t="n"/>
      <c r="F1210" s="41" t="n"/>
      <c r="H1210" s="41" t="n"/>
    </row>
    <row r="1211" ht="25.8" customHeight="1">
      <c r="B1211" s="41" t="n"/>
      <c r="C1211" s="41" t="n"/>
      <c r="F1211" s="41" t="n"/>
      <c r="H1211" s="41" t="n"/>
    </row>
    <row r="1212" ht="25.8" customHeight="1">
      <c r="B1212" s="41" t="n"/>
      <c r="C1212" s="41" t="n"/>
      <c r="F1212" s="41" t="n"/>
      <c r="H1212" s="41" t="n"/>
    </row>
    <row r="1213" ht="25.8" customHeight="1">
      <c r="B1213" s="41" t="n"/>
      <c r="C1213" s="41" t="n"/>
      <c r="F1213" s="41" t="n"/>
      <c r="H1213" s="41" t="n"/>
    </row>
    <row r="1214" ht="25.8" customHeight="1">
      <c r="B1214" s="41" t="n"/>
      <c r="C1214" s="41" t="n"/>
      <c r="F1214" s="41" t="n"/>
      <c r="H1214" s="41" t="n"/>
    </row>
    <row r="1215" ht="25.8" customHeight="1">
      <c r="B1215" s="41" t="n"/>
      <c r="C1215" s="41" t="n"/>
      <c r="F1215" s="41" t="n"/>
      <c r="H1215" s="41" t="n"/>
    </row>
    <row r="1216" ht="25.8" customHeight="1">
      <c r="B1216" s="41" t="n"/>
      <c r="C1216" s="41" t="n"/>
      <c r="F1216" s="41" t="n"/>
      <c r="H1216" s="41" t="n"/>
    </row>
    <row r="1217" ht="25.8" customHeight="1">
      <c r="B1217" s="41" t="n"/>
      <c r="C1217" s="41" t="n"/>
      <c r="F1217" s="41" t="n"/>
      <c r="H1217" s="41" t="n"/>
    </row>
    <row r="1218" ht="25.8" customHeight="1">
      <c r="B1218" s="41" t="n"/>
      <c r="C1218" s="41" t="n"/>
      <c r="F1218" s="41" t="n"/>
      <c r="H1218" s="41" t="n"/>
    </row>
    <row r="1219" ht="25.8" customHeight="1">
      <c r="B1219" s="41" t="n"/>
      <c r="C1219" s="41" t="n"/>
      <c r="F1219" s="41" t="n"/>
      <c r="H1219" s="41" t="n"/>
    </row>
    <row r="1220" ht="25.8" customHeight="1">
      <c r="B1220" s="41" t="n"/>
      <c r="C1220" s="41" t="n"/>
      <c r="F1220" s="41" t="n"/>
      <c r="H1220" s="41" t="n"/>
    </row>
    <row r="1221" ht="25.8" customHeight="1">
      <c r="B1221" s="41" t="n"/>
      <c r="C1221" s="41" t="n"/>
      <c r="F1221" s="41" t="n"/>
      <c r="H1221" s="41" t="n"/>
    </row>
    <row r="1222" ht="25.8" customHeight="1">
      <c r="B1222" s="41" t="n"/>
      <c r="C1222" s="41" t="n"/>
      <c r="F1222" s="41" t="n"/>
      <c r="H1222" s="41" t="n"/>
    </row>
    <row r="1223" ht="25.8" customHeight="1">
      <c r="B1223" s="41" t="n"/>
      <c r="C1223" s="41" t="n"/>
      <c r="F1223" s="41" t="n"/>
      <c r="H1223" s="41" t="n"/>
    </row>
    <row r="1224" ht="25.8" customHeight="1">
      <c r="B1224" s="41" t="n"/>
      <c r="C1224" s="41" t="n"/>
      <c r="F1224" s="41" t="n"/>
      <c r="H1224" s="41" t="n"/>
    </row>
    <row r="1225" ht="25.8" customHeight="1">
      <c r="B1225" s="41" t="n"/>
      <c r="C1225" s="41" t="n"/>
      <c r="F1225" s="41" t="n"/>
      <c r="H1225" s="41" t="n"/>
    </row>
    <row r="1226" ht="25.8" customHeight="1">
      <c r="B1226" s="41" t="n"/>
      <c r="C1226" s="41" t="n"/>
      <c r="F1226" s="41" t="n"/>
      <c r="H1226" s="41" t="n"/>
    </row>
    <row r="1227" ht="25.8" customHeight="1">
      <c r="B1227" s="41" t="n"/>
      <c r="C1227" s="41" t="n"/>
      <c r="F1227" s="41" t="n"/>
      <c r="H1227" s="41" t="n"/>
    </row>
    <row r="1228" ht="25.8" customHeight="1">
      <c r="B1228" s="41" t="n"/>
      <c r="C1228" s="41" t="n"/>
      <c r="F1228" s="41" t="n"/>
      <c r="H1228" s="41" t="n"/>
    </row>
    <row r="1229" ht="25.8" customHeight="1">
      <c r="B1229" s="41" t="n"/>
      <c r="C1229" s="41" t="n"/>
      <c r="F1229" s="41" t="n"/>
      <c r="H1229" s="41" t="n"/>
    </row>
    <row r="1230" ht="25.8" customHeight="1">
      <c r="B1230" s="41" t="n"/>
      <c r="C1230" s="41" t="n"/>
      <c r="F1230" s="41" t="n"/>
      <c r="H1230" s="41" t="n"/>
    </row>
    <row r="1231" ht="25.8" customHeight="1">
      <c r="B1231" s="41" t="n"/>
      <c r="C1231" s="41" t="n"/>
      <c r="F1231" s="41" t="n"/>
      <c r="H1231" s="41" t="n"/>
    </row>
    <row r="1232" ht="25.8" customHeight="1">
      <c r="B1232" s="41" t="n"/>
      <c r="C1232" s="41" t="n"/>
      <c r="F1232" s="41" t="n"/>
      <c r="H1232" s="41" t="n"/>
    </row>
    <row r="1233" ht="25.8" customHeight="1">
      <c r="B1233" s="41" t="n"/>
      <c r="C1233" s="41" t="n"/>
      <c r="F1233" s="41" t="n"/>
      <c r="H1233" s="41" t="n"/>
    </row>
    <row r="1234" ht="25.8" customHeight="1">
      <c r="B1234" s="41" t="n"/>
      <c r="C1234" s="41" t="n"/>
      <c r="F1234" s="41" t="n"/>
      <c r="H1234" s="41" t="n"/>
    </row>
    <row r="1235" ht="25.8" customHeight="1">
      <c r="B1235" s="41" t="n"/>
      <c r="C1235" s="41" t="n"/>
      <c r="F1235" s="41" t="n"/>
      <c r="H1235" s="41" t="n"/>
    </row>
    <row r="1236" ht="25.8" customHeight="1">
      <c r="B1236" s="41" t="n"/>
      <c r="C1236" s="41" t="n"/>
      <c r="F1236" s="41" t="n"/>
      <c r="H1236" s="41" t="n"/>
    </row>
    <row r="1237" ht="25.8" customHeight="1">
      <c r="B1237" s="41" t="n"/>
      <c r="C1237" s="41" t="n"/>
      <c r="F1237" s="41" t="n"/>
      <c r="H1237" s="41" t="n"/>
    </row>
    <row r="1238" ht="25.8" customHeight="1">
      <c r="B1238" s="41" t="n"/>
      <c r="C1238" s="41" t="n"/>
      <c r="F1238" s="41" t="n"/>
      <c r="H1238" s="41" t="n"/>
    </row>
    <row r="1239" ht="25.8" customHeight="1">
      <c r="B1239" s="41" t="n"/>
      <c r="C1239" s="41" t="n"/>
      <c r="F1239" s="41" t="n"/>
      <c r="H1239" s="41" t="n"/>
    </row>
    <row r="1240" ht="25.8" customHeight="1">
      <c r="B1240" s="41" t="n"/>
      <c r="C1240" s="41" t="n"/>
      <c r="F1240" s="41" t="n"/>
      <c r="H1240" s="41" t="n"/>
    </row>
    <row r="1241" ht="25.8" customHeight="1">
      <c r="B1241" s="41" t="n"/>
      <c r="C1241" s="41" t="n"/>
      <c r="F1241" s="41" t="n"/>
      <c r="H1241" s="41" t="n"/>
    </row>
    <row r="1242" ht="25.8" customHeight="1">
      <c r="B1242" s="41" t="n"/>
      <c r="C1242" s="41" t="n"/>
      <c r="F1242" s="41" t="n"/>
      <c r="H1242" s="41" t="n"/>
    </row>
    <row r="1243" ht="25.8" customHeight="1">
      <c r="B1243" s="41" t="n"/>
      <c r="C1243" s="41" t="n"/>
      <c r="F1243" s="41" t="n"/>
      <c r="H1243" s="41" t="n"/>
    </row>
    <row r="1244" ht="25.8" customHeight="1">
      <c r="B1244" s="41" t="n"/>
      <c r="C1244" s="41" t="n"/>
      <c r="F1244" s="41" t="n"/>
      <c r="H1244" s="41" t="n"/>
    </row>
    <row r="1245" ht="25.8" customHeight="1">
      <c r="B1245" s="41" t="n"/>
      <c r="C1245" s="41" t="n"/>
      <c r="F1245" s="41" t="n"/>
      <c r="H1245" s="41" t="n"/>
    </row>
    <row r="1246" ht="25.8" customHeight="1">
      <c r="B1246" s="41" t="n"/>
      <c r="C1246" s="41" t="n"/>
      <c r="F1246" s="41" t="n"/>
      <c r="H1246" s="41" t="n"/>
    </row>
    <row r="1247" ht="25.8" customHeight="1">
      <c r="B1247" s="41" t="n"/>
      <c r="C1247" s="41" t="n"/>
      <c r="F1247" s="41" t="n"/>
      <c r="H1247" s="41" t="n"/>
    </row>
    <row r="1248" ht="25.8" customHeight="1">
      <c r="B1248" s="41" t="n"/>
      <c r="C1248" s="41" t="n"/>
      <c r="F1248" s="41" t="n"/>
      <c r="H1248" s="41" t="n"/>
    </row>
    <row r="1249" ht="25.8" customHeight="1">
      <c r="B1249" s="41" t="n"/>
      <c r="C1249" s="41" t="n"/>
      <c r="F1249" s="41" t="n"/>
      <c r="H1249" s="41" t="n"/>
    </row>
    <row r="1250" ht="25.8" customHeight="1">
      <c r="B1250" s="41" t="n"/>
      <c r="C1250" s="41" t="n"/>
      <c r="F1250" s="41" t="n"/>
      <c r="H1250" s="41" t="n"/>
    </row>
    <row r="1251" ht="25.8" customHeight="1">
      <c r="B1251" s="41" t="n"/>
      <c r="C1251" s="41" t="n"/>
      <c r="F1251" s="41" t="n"/>
      <c r="H1251" s="41" t="n"/>
    </row>
    <row r="1252" ht="25.8" customHeight="1">
      <c r="B1252" s="41" t="n"/>
      <c r="C1252" s="41" t="n"/>
      <c r="F1252" s="41" t="n"/>
      <c r="H1252" s="41" t="n"/>
    </row>
    <row r="1253" ht="25.8" customHeight="1">
      <c r="B1253" s="41" t="n"/>
      <c r="C1253" s="41" t="n"/>
      <c r="F1253" s="41" t="n"/>
      <c r="H1253" s="41" t="n"/>
    </row>
    <row r="1254" ht="25.8" customHeight="1">
      <c r="B1254" s="41" t="n"/>
      <c r="C1254" s="41" t="n"/>
      <c r="F1254" s="41" t="n"/>
      <c r="H1254" s="41" t="n"/>
    </row>
    <row r="1255" ht="25.8" customHeight="1">
      <c r="B1255" s="41" t="n"/>
      <c r="C1255" s="41" t="n"/>
      <c r="F1255" s="41" t="n"/>
      <c r="H1255" s="41" t="n"/>
    </row>
    <row r="1256" ht="25.8" customHeight="1">
      <c r="B1256" s="41" t="n"/>
      <c r="C1256" s="41" t="n"/>
      <c r="F1256" s="41" t="n"/>
      <c r="H1256" s="41" t="n"/>
    </row>
    <row r="1257" ht="25.8" customHeight="1">
      <c r="B1257" s="41" t="n"/>
      <c r="C1257" s="41" t="n"/>
      <c r="F1257" s="41" t="n"/>
      <c r="H1257" s="41" t="n"/>
    </row>
    <row r="1258" ht="25.8" customHeight="1">
      <c r="B1258" s="41" t="n"/>
      <c r="C1258" s="41" t="n"/>
      <c r="F1258" s="41" t="n"/>
      <c r="H1258" s="41" t="n"/>
    </row>
    <row r="1259" ht="25.8" customHeight="1">
      <c r="B1259" s="41" t="n"/>
      <c r="C1259" s="41" t="n"/>
      <c r="F1259" s="41" t="n"/>
      <c r="H1259" s="41" t="n"/>
    </row>
    <row r="1260" ht="25.8" customHeight="1">
      <c r="B1260" s="41" t="n"/>
      <c r="C1260" s="41" t="n"/>
      <c r="F1260" s="41" t="n"/>
      <c r="H1260" s="41" t="n"/>
    </row>
    <row r="1261" ht="25.8" customHeight="1">
      <c r="B1261" s="41" t="n"/>
      <c r="C1261" s="41" t="n"/>
      <c r="F1261" s="41" t="n"/>
      <c r="H1261" s="41" t="n"/>
    </row>
    <row r="1262" ht="25.8" customHeight="1">
      <c r="B1262" s="41" t="n"/>
      <c r="C1262" s="41" t="n"/>
      <c r="F1262" s="41" t="n"/>
      <c r="H1262" s="41" t="n"/>
    </row>
    <row r="1263" ht="25.8" customHeight="1">
      <c r="B1263" s="41" t="n"/>
      <c r="C1263" s="41" t="n"/>
      <c r="F1263" s="41" t="n"/>
      <c r="H1263" s="41" t="n"/>
    </row>
    <row r="1264" ht="25.8" customHeight="1">
      <c r="B1264" s="41" t="n"/>
      <c r="C1264" s="41" t="n"/>
      <c r="F1264" s="41" t="n"/>
      <c r="H1264" s="41" t="n"/>
    </row>
    <row r="1265" ht="25.8" customHeight="1">
      <c r="B1265" s="41" t="n"/>
      <c r="C1265" s="41" t="n"/>
      <c r="F1265" s="41" t="n"/>
      <c r="H1265" s="41" t="n"/>
    </row>
    <row r="1266" ht="25.8" customHeight="1">
      <c r="B1266" s="41" t="n"/>
      <c r="C1266" s="41" t="n"/>
      <c r="F1266" s="41" t="n"/>
      <c r="H1266" s="41" t="n"/>
    </row>
    <row r="1267" ht="25.8" customHeight="1">
      <c r="B1267" s="41" t="n"/>
      <c r="C1267" s="41" t="n"/>
      <c r="F1267" s="41" t="n"/>
      <c r="H1267" s="41" t="n"/>
    </row>
    <row r="1268" ht="25.8" customHeight="1">
      <c r="B1268" s="41" t="n"/>
      <c r="C1268" s="41" t="n"/>
      <c r="F1268" s="41" t="n"/>
      <c r="H1268" s="41" t="n"/>
    </row>
    <row r="1269" ht="25.8" customHeight="1">
      <c r="B1269" s="41" t="n"/>
      <c r="C1269" s="41" t="n"/>
      <c r="F1269" s="41" t="n"/>
      <c r="H1269" s="41" t="n"/>
    </row>
    <row r="1270" ht="25.8" customHeight="1">
      <c r="B1270" s="41" t="n"/>
      <c r="C1270" s="41" t="n"/>
      <c r="F1270" s="41" t="n"/>
      <c r="H1270" s="41" t="n"/>
    </row>
    <row r="1271" ht="25.8" customHeight="1">
      <c r="B1271" s="41" t="n"/>
      <c r="C1271" s="41" t="n"/>
      <c r="F1271" s="41" t="n"/>
      <c r="H1271" s="41" t="n"/>
    </row>
    <row r="1272" ht="25.8" customHeight="1">
      <c r="B1272" s="41" t="n"/>
      <c r="C1272" s="41" t="n"/>
      <c r="F1272" s="41" t="n"/>
      <c r="H1272" s="41" t="n"/>
    </row>
    <row r="1273" ht="25.8" customHeight="1">
      <c r="B1273" s="41" t="n"/>
      <c r="C1273" s="41" t="n"/>
      <c r="F1273" s="41" t="n"/>
      <c r="H1273" s="41" t="n"/>
    </row>
    <row r="1274" ht="25.8" customHeight="1">
      <c r="B1274" s="41" t="n"/>
      <c r="C1274" s="41" t="n"/>
      <c r="F1274" s="41" t="n"/>
      <c r="H1274" s="41" t="n"/>
    </row>
    <row r="1275" ht="25.8" customHeight="1">
      <c r="B1275" s="41" t="n"/>
      <c r="C1275" s="41" t="n"/>
      <c r="F1275" s="41" t="n"/>
      <c r="H1275" s="41" t="n"/>
    </row>
    <row r="1276" ht="25.8" customHeight="1">
      <c r="B1276" s="41" t="n"/>
      <c r="C1276" s="41" t="n"/>
      <c r="F1276" s="41" t="n"/>
      <c r="H1276" s="41" t="n"/>
    </row>
    <row r="1277" ht="25.8" customHeight="1">
      <c r="B1277" s="41" t="n"/>
      <c r="C1277" s="41" t="n"/>
      <c r="F1277" s="41" t="n"/>
      <c r="H1277" s="41" t="n"/>
    </row>
    <row r="1278" ht="25.8" customHeight="1">
      <c r="B1278" s="41" t="n"/>
      <c r="C1278" s="41" t="n"/>
      <c r="F1278" s="41" t="n"/>
      <c r="H1278" s="41" t="n"/>
    </row>
    <row r="1279" ht="25.8" customHeight="1">
      <c r="B1279" s="41" t="n"/>
      <c r="C1279" s="41" t="n"/>
      <c r="F1279" s="41" t="n"/>
      <c r="H1279" s="41" t="n"/>
    </row>
    <row r="1280" ht="25.8" customHeight="1">
      <c r="B1280" s="41" t="n"/>
      <c r="C1280" s="41" t="n"/>
      <c r="F1280" s="41" t="n"/>
      <c r="H1280" s="41" t="n"/>
    </row>
    <row r="1281" ht="25.8" customHeight="1">
      <c r="B1281" s="41" t="n"/>
      <c r="C1281" s="41" t="n"/>
      <c r="F1281" s="41" t="n"/>
      <c r="H1281" s="41" t="n"/>
    </row>
    <row r="1282" ht="25.8" customHeight="1">
      <c r="B1282" s="41" t="n"/>
      <c r="C1282" s="41" t="n"/>
      <c r="F1282" s="41" t="n"/>
      <c r="H1282" s="41" t="n"/>
    </row>
    <row r="1283" ht="25.8" customHeight="1">
      <c r="B1283" s="41" t="n"/>
      <c r="C1283" s="41" t="n"/>
      <c r="F1283" s="41" t="n"/>
      <c r="H1283" s="41" t="n"/>
    </row>
    <row r="1284" ht="25.8" customHeight="1">
      <c r="B1284" s="41" t="n"/>
      <c r="C1284" s="41" t="n"/>
      <c r="F1284" s="41" t="n"/>
      <c r="H1284" s="41" t="n"/>
    </row>
    <row r="1285" ht="25.8" customHeight="1">
      <c r="B1285" s="41" t="n"/>
      <c r="C1285" s="41" t="n"/>
      <c r="F1285" s="41" t="n"/>
      <c r="H1285" s="41" t="n"/>
    </row>
    <row r="1286" ht="25.8" customHeight="1">
      <c r="B1286" s="41" t="n"/>
      <c r="C1286" s="41" t="n"/>
      <c r="F1286" s="41" t="n"/>
      <c r="H1286" s="41" t="n"/>
    </row>
    <row r="1287" ht="25.8" customHeight="1">
      <c r="B1287" s="41" t="n"/>
      <c r="C1287" s="41" t="n"/>
      <c r="F1287" s="41" t="n"/>
      <c r="H1287" s="41" t="n"/>
    </row>
    <row r="1288" ht="25.8" customHeight="1">
      <c r="B1288" s="41" t="n"/>
      <c r="C1288" s="41" t="n"/>
      <c r="F1288" s="41" t="n"/>
      <c r="H1288" s="41" t="n"/>
    </row>
    <row r="1289" ht="25.8" customHeight="1">
      <c r="B1289" s="41" t="n"/>
      <c r="C1289" s="41" t="n"/>
      <c r="F1289" s="41" t="n"/>
      <c r="H1289" s="41" t="n"/>
    </row>
    <row r="1290" ht="25.8" customHeight="1">
      <c r="B1290" s="41" t="n"/>
      <c r="C1290" s="41" t="n"/>
      <c r="F1290" s="41" t="n"/>
      <c r="H1290" s="41" t="n"/>
    </row>
    <row r="1291" ht="25.8" customHeight="1">
      <c r="B1291" s="41" t="n"/>
      <c r="C1291" s="41" t="n"/>
      <c r="F1291" s="41" t="n"/>
      <c r="H1291" s="41" t="n"/>
    </row>
    <row r="1292" ht="25.8" customHeight="1">
      <c r="B1292" s="41" t="n"/>
      <c r="C1292" s="41" t="n"/>
      <c r="F1292" s="41" t="n"/>
      <c r="H1292" s="41" t="n"/>
    </row>
    <row r="1293" ht="25.8" customHeight="1">
      <c r="B1293" s="41" t="n"/>
      <c r="C1293" s="41" t="n"/>
      <c r="F1293" s="41" t="n"/>
      <c r="H1293" s="41" t="n"/>
    </row>
    <row r="1294" ht="25.8" customHeight="1">
      <c r="B1294" s="41" t="n"/>
      <c r="C1294" s="41" t="n"/>
      <c r="F1294" s="41" t="n"/>
      <c r="H1294" s="41" t="n"/>
    </row>
    <row r="1295" ht="25.8" customHeight="1">
      <c r="B1295" s="41" t="n"/>
      <c r="C1295" s="41" t="n"/>
      <c r="F1295" s="41" t="n"/>
      <c r="H1295" s="41" t="n"/>
    </row>
    <row r="1296" ht="25.8" customHeight="1">
      <c r="B1296" s="41" t="n"/>
      <c r="C1296" s="41" t="n"/>
      <c r="F1296" s="41" t="n"/>
      <c r="H1296" s="41" t="n"/>
    </row>
    <row r="1297" ht="25.8" customHeight="1">
      <c r="B1297" s="41" t="n"/>
      <c r="C1297" s="41" t="n"/>
      <c r="F1297" s="41" t="n"/>
      <c r="H1297" s="41" t="n"/>
    </row>
    <row r="1298" ht="25.8" customHeight="1">
      <c r="B1298" s="41" t="n"/>
      <c r="C1298" s="41" t="n"/>
      <c r="F1298" s="41" t="n"/>
      <c r="H1298" s="41" t="n"/>
    </row>
    <row r="1299" ht="25.8" customHeight="1">
      <c r="B1299" s="41" t="n"/>
      <c r="C1299" s="41" t="n"/>
      <c r="F1299" s="41" t="n"/>
      <c r="H1299" s="41" t="n"/>
    </row>
    <row r="1300" ht="25.8" customHeight="1">
      <c r="B1300" s="41" t="n"/>
      <c r="C1300" s="41" t="n"/>
      <c r="F1300" s="41" t="n"/>
      <c r="H1300" s="41" t="n"/>
    </row>
    <row r="1301" ht="25.8" customHeight="1">
      <c r="B1301" s="41" t="n"/>
      <c r="C1301" s="41" t="n"/>
      <c r="F1301" s="41" t="n"/>
      <c r="H1301" s="41" t="n"/>
    </row>
    <row r="1302" ht="25.8" customHeight="1">
      <c r="B1302" s="41" t="n"/>
      <c r="C1302" s="41" t="n"/>
      <c r="F1302" s="41" t="n"/>
      <c r="H1302" s="41" t="n"/>
    </row>
    <row r="1303" ht="25.8" customHeight="1">
      <c r="B1303" s="41" t="n"/>
      <c r="C1303" s="41" t="n"/>
      <c r="F1303" s="41" t="n"/>
      <c r="H1303" s="41" t="n"/>
    </row>
    <row r="1304" ht="25.8" customHeight="1">
      <c r="B1304" s="41" t="n"/>
      <c r="C1304" s="41" t="n"/>
      <c r="F1304" s="41" t="n"/>
      <c r="H1304" s="41" t="n"/>
    </row>
    <row r="1305" ht="25.8" customHeight="1">
      <c r="B1305" s="41" t="n"/>
      <c r="C1305" s="41" t="n"/>
      <c r="F1305" s="41" t="n"/>
      <c r="H1305" s="41" t="n"/>
    </row>
    <row r="1306" ht="25.8" customHeight="1">
      <c r="B1306" s="41" t="n"/>
      <c r="C1306" s="41" t="n"/>
      <c r="F1306" s="41" t="n"/>
      <c r="H1306" s="41" t="n"/>
    </row>
    <row r="1307" ht="25.8" customHeight="1">
      <c r="B1307" s="41" t="n"/>
      <c r="C1307" s="41" t="n"/>
      <c r="F1307" s="41" t="n"/>
      <c r="H1307" s="41" t="n"/>
    </row>
    <row r="1308" ht="25.8" customHeight="1">
      <c r="B1308" s="41" t="n"/>
      <c r="C1308" s="41" t="n"/>
      <c r="F1308" s="41" t="n"/>
      <c r="H1308" s="41" t="n"/>
    </row>
    <row r="1309" ht="25.8" customHeight="1">
      <c r="B1309" s="41" t="n"/>
      <c r="C1309" s="41" t="n"/>
      <c r="F1309" s="41" t="n"/>
      <c r="H1309" s="41" t="n"/>
    </row>
    <row r="1310" ht="25.8" customHeight="1">
      <c r="B1310" s="41" t="n"/>
      <c r="C1310" s="41" t="n"/>
      <c r="F1310" s="41" t="n"/>
      <c r="H1310" s="41" t="n"/>
    </row>
    <row r="1311" ht="25.8" customHeight="1">
      <c r="B1311" s="41" t="n"/>
      <c r="C1311" s="41" t="n"/>
      <c r="F1311" s="41" t="n"/>
      <c r="H1311" s="41" t="n"/>
    </row>
    <row r="1312" ht="25.8" customHeight="1">
      <c r="B1312" s="41" t="n"/>
      <c r="C1312" s="41" t="n"/>
      <c r="F1312" s="41" t="n"/>
      <c r="H1312" s="41" t="n"/>
    </row>
    <row r="1313" ht="25.8" customHeight="1">
      <c r="B1313" s="41" t="n"/>
      <c r="C1313" s="41" t="n"/>
      <c r="F1313" s="41" t="n"/>
      <c r="H1313" s="41" t="n"/>
    </row>
    <row r="1314" ht="25.8" customHeight="1">
      <c r="B1314" s="41" t="n"/>
      <c r="C1314" s="41" t="n"/>
      <c r="F1314" s="41" t="n"/>
      <c r="H1314" s="41" t="n"/>
    </row>
    <row r="1315" ht="25.8" customHeight="1">
      <c r="B1315" s="41" t="n"/>
      <c r="C1315" s="41" t="n"/>
      <c r="F1315" s="41" t="n"/>
      <c r="H1315" s="41" t="n"/>
    </row>
    <row r="1316" ht="25.8" customHeight="1">
      <c r="B1316" s="41" t="n"/>
      <c r="C1316" s="41" t="n"/>
      <c r="F1316" s="41" t="n"/>
      <c r="H1316" s="41" t="n"/>
    </row>
    <row r="1317" ht="25.8" customHeight="1">
      <c r="B1317" s="41" t="n"/>
      <c r="C1317" s="41" t="n"/>
      <c r="F1317" s="41" t="n"/>
      <c r="H1317" s="41" t="n"/>
    </row>
    <row r="1318" ht="25.8" customHeight="1">
      <c r="B1318" s="41" t="n"/>
      <c r="C1318" s="41" t="n"/>
      <c r="F1318" s="41" t="n"/>
      <c r="H1318" s="41" t="n"/>
    </row>
    <row r="1319" ht="25.8" customHeight="1">
      <c r="B1319" s="41" t="n"/>
      <c r="C1319" s="41" t="n"/>
      <c r="F1319" s="41" t="n"/>
      <c r="H1319" s="41" t="n"/>
    </row>
    <row r="1320" ht="25.8" customHeight="1">
      <c r="B1320" s="41" t="n"/>
      <c r="C1320" s="41" t="n"/>
      <c r="F1320" s="41" t="n"/>
      <c r="H1320" s="41" t="n"/>
    </row>
    <row r="1321" ht="25.8" customHeight="1">
      <c r="B1321" s="41" t="n"/>
      <c r="C1321" s="41" t="n"/>
      <c r="F1321" s="41" t="n"/>
      <c r="H1321" s="41" t="n"/>
    </row>
    <row r="1322" ht="25.8" customHeight="1">
      <c r="B1322" s="41" t="n"/>
      <c r="C1322" s="41" t="n"/>
      <c r="F1322" s="41" t="n"/>
      <c r="H1322" s="41" t="n"/>
    </row>
    <row r="1323" ht="25.8" customHeight="1">
      <c r="B1323" s="41" t="n"/>
      <c r="C1323" s="41" t="n"/>
      <c r="F1323" s="41" t="n"/>
      <c r="H1323" s="41" t="n"/>
    </row>
    <row r="1324" ht="25.8" customHeight="1">
      <c r="B1324" s="41" t="n"/>
      <c r="C1324" s="41" t="n"/>
      <c r="F1324" s="41" t="n"/>
      <c r="H1324" s="41" t="n"/>
    </row>
    <row r="1325" ht="25.8" customHeight="1">
      <c r="B1325" s="41" t="n"/>
      <c r="C1325" s="41" t="n"/>
      <c r="F1325" s="41" t="n"/>
      <c r="H1325" s="41" t="n"/>
    </row>
    <row r="1326" ht="25.8" customHeight="1">
      <c r="B1326" s="41" t="n"/>
      <c r="C1326" s="41" t="n"/>
      <c r="F1326" s="41" t="n"/>
      <c r="H1326" s="41" t="n"/>
    </row>
    <row r="1327" ht="25.8" customHeight="1">
      <c r="B1327" s="41" t="n"/>
      <c r="C1327" s="41" t="n"/>
      <c r="F1327" s="41" t="n"/>
      <c r="H1327" s="41" t="n"/>
    </row>
    <row r="1328" ht="25.8" customHeight="1">
      <c r="B1328" s="41" t="n"/>
      <c r="C1328" s="41" t="n"/>
      <c r="F1328" s="41" t="n"/>
      <c r="H1328" s="41" t="n"/>
    </row>
    <row r="1329" ht="25.8" customHeight="1">
      <c r="B1329" s="41" t="n"/>
      <c r="C1329" s="41" t="n"/>
      <c r="F1329" s="41" t="n"/>
      <c r="H1329" s="41" t="n"/>
    </row>
    <row r="1330" ht="25.8" customHeight="1">
      <c r="B1330" s="41" t="n"/>
      <c r="C1330" s="41" t="n"/>
      <c r="F1330" s="41" t="n"/>
      <c r="H1330" s="41" t="n"/>
    </row>
    <row r="1331" ht="25.8" customHeight="1">
      <c r="B1331" s="41" t="n"/>
      <c r="C1331" s="41" t="n"/>
      <c r="F1331" s="41" t="n"/>
      <c r="H1331" s="41" t="n"/>
    </row>
    <row r="1332" ht="25.8" customHeight="1">
      <c r="B1332" s="41" t="n"/>
      <c r="C1332" s="41" t="n"/>
      <c r="F1332" s="41" t="n"/>
      <c r="H1332" s="41" t="n"/>
    </row>
    <row r="1333" ht="25.8" customHeight="1">
      <c r="B1333" s="41" t="n"/>
      <c r="C1333" s="41" t="n"/>
      <c r="F1333" s="41" t="n"/>
      <c r="H1333" s="41" t="n"/>
    </row>
    <row r="1334" ht="25.8" customHeight="1">
      <c r="B1334" s="41" t="n"/>
      <c r="C1334" s="41" t="n"/>
      <c r="F1334" s="41" t="n"/>
      <c r="H1334" s="41" t="n"/>
    </row>
    <row r="1335" ht="25.8" customHeight="1">
      <c r="B1335" s="41" t="n"/>
      <c r="C1335" s="41" t="n"/>
      <c r="F1335" s="41" t="n"/>
      <c r="H1335" s="41" t="n"/>
    </row>
    <row r="1336" ht="25.8" customHeight="1">
      <c r="B1336" s="41" t="n"/>
      <c r="C1336" s="41" t="n"/>
      <c r="F1336" s="41" t="n"/>
      <c r="H1336" s="41" t="n"/>
    </row>
    <row r="1337" ht="25.8" customHeight="1">
      <c r="B1337" s="41" t="n"/>
      <c r="C1337" s="41" t="n"/>
      <c r="F1337" s="41" t="n"/>
      <c r="H1337" s="41" t="n"/>
    </row>
    <row r="1338" ht="25.8" customHeight="1">
      <c r="B1338" s="41" t="n"/>
      <c r="C1338" s="41" t="n"/>
      <c r="F1338" s="41" t="n"/>
      <c r="H1338" s="41" t="n"/>
    </row>
    <row r="1339" ht="25.8" customHeight="1">
      <c r="B1339" s="41" t="n"/>
      <c r="C1339" s="41" t="n"/>
      <c r="F1339" s="41" t="n"/>
      <c r="H1339" s="41" t="n"/>
    </row>
    <row r="1340" ht="25.8" customHeight="1">
      <c r="B1340" s="41" t="n"/>
      <c r="C1340" s="41" t="n"/>
      <c r="F1340" s="41" t="n"/>
      <c r="H1340" s="41" t="n"/>
    </row>
    <row r="1341" ht="25.8" customHeight="1">
      <c r="B1341" s="41" t="n"/>
      <c r="C1341" s="41" t="n"/>
      <c r="F1341" s="41" t="n"/>
      <c r="H1341" s="41" t="n"/>
    </row>
    <row r="1342" ht="25.8" customHeight="1">
      <c r="B1342" s="41" t="n"/>
      <c r="C1342" s="41" t="n"/>
      <c r="F1342" s="41" t="n"/>
      <c r="H1342" s="41" t="n"/>
    </row>
    <row r="1343" ht="25.8" customHeight="1">
      <c r="B1343" s="41" t="n"/>
      <c r="C1343" s="41" t="n"/>
      <c r="F1343" s="41" t="n"/>
      <c r="H1343" s="41" t="n"/>
    </row>
    <row r="1344" ht="25.8" customHeight="1">
      <c r="B1344" s="41" t="n"/>
      <c r="C1344" s="41" t="n"/>
      <c r="F1344" s="41" t="n"/>
      <c r="H1344" s="41" t="n"/>
    </row>
    <row r="1345" ht="25.8" customHeight="1">
      <c r="B1345" s="41" t="n"/>
      <c r="C1345" s="41" t="n"/>
      <c r="F1345" s="41" t="n"/>
      <c r="H1345" s="41" t="n"/>
    </row>
    <row r="1346" ht="25.8" customHeight="1">
      <c r="B1346" s="41" t="n"/>
      <c r="C1346" s="41" t="n"/>
      <c r="F1346" s="41" t="n"/>
      <c r="H1346" s="41" t="n"/>
    </row>
    <row r="1347" ht="25.8" customHeight="1">
      <c r="B1347" s="41" t="n"/>
      <c r="C1347" s="41" t="n"/>
      <c r="F1347" s="41" t="n"/>
      <c r="H1347" s="41" t="n"/>
    </row>
    <row r="1348" ht="25.8" customHeight="1">
      <c r="B1348" s="41" t="n"/>
      <c r="C1348" s="41" t="n"/>
      <c r="F1348" s="41" t="n"/>
      <c r="H1348" s="41" t="n"/>
    </row>
    <row r="1349" ht="25.8" customHeight="1">
      <c r="B1349" s="41" t="n"/>
      <c r="C1349" s="41" t="n"/>
      <c r="F1349" s="41" t="n"/>
      <c r="H1349" s="41" t="n"/>
    </row>
    <row r="1350" ht="25.8" customHeight="1">
      <c r="B1350" s="41" t="n"/>
      <c r="C1350" s="41" t="n"/>
      <c r="F1350" s="41" t="n"/>
      <c r="H1350" s="41" t="n"/>
    </row>
    <row r="1351" ht="25.8" customHeight="1">
      <c r="B1351" s="41" t="n"/>
      <c r="C1351" s="41" t="n"/>
      <c r="F1351" s="41" t="n"/>
      <c r="H1351" s="41" t="n"/>
    </row>
    <row r="1352" ht="25.8" customHeight="1">
      <c r="B1352" s="41" t="n"/>
      <c r="C1352" s="41" t="n"/>
      <c r="F1352" s="41" t="n"/>
      <c r="H1352" s="41" t="n"/>
    </row>
    <row r="1353" ht="25.8" customHeight="1">
      <c r="B1353" s="41" t="n"/>
      <c r="C1353" s="41" t="n"/>
      <c r="F1353" s="41" t="n"/>
      <c r="H1353" s="41" t="n"/>
    </row>
    <row r="1354" ht="25.8" customHeight="1">
      <c r="B1354" s="41" t="n"/>
      <c r="C1354" s="41" t="n"/>
      <c r="F1354" s="41" t="n"/>
      <c r="H1354" s="41" t="n"/>
    </row>
    <row r="1355" ht="25.8" customHeight="1">
      <c r="B1355" s="41" t="n"/>
      <c r="C1355" s="41" t="n"/>
      <c r="F1355" s="41" t="n"/>
      <c r="H1355" s="41" t="n"/>
    </row>
    <row r="1356" ht="25.8" customHeight="1">
      <c r="B1356" s="41" t="n"/>
      <c r="C1356" s="41" t="n"/>
      <c r="F1356" s="41" t="n"/>
      <c r="H1356" s="41" t="n"/>
    </row>
    <row r="1357" ht="25.8" customHeight="1">
      <c r="B1357" s="41" t="n"/>
      <c r="C1357" s="41" t="n"/>
      <c r="F1357" s="41" t="n"/>
      <c r="H1357" s="41" t="n"/>
    </row>
    <row r="1358" ht="25.8" customHeight="1">
      <c r="B1358" s="41" t="n"/>
      <c r="C1358" s="41" t="n"/>
      <c r="F1358" s="41" t="n"/>
      <c r="H1358" s="41" t="n"/>
    </row>
    <row r="1359" ht="25.8" customHeight="1">
      <c r="B1359" s="41" t="n"/>
      <c r="C1359" s="41" t="n"/>
      <c r="F1359" s="41" t="n"/>
      <c r="H1359" s="41" t="n"/>
    </row>
    <row r="1360" ht="25.8" customHeight="1">
      <c r="B1360" s="41" t="n"/>
      <c r="C1360" s="41" t="n"/>
      <c r="F1360" s="41" t="n"/>
      <c r="H1360" s="41" t="n"/>
    </row>
    <row r="1361" ht="25.8" customHeight="1">
      <c r="B1361" s="41" t="n"/>
      <c r="C1361" s="41" t="n"/>
      <c r="F1361" s="41" t="n"/>
      <c r="H1361" s="41" t="n"/>
    </row>
    <row r="1362" ht="25.8" customHeight="1">
      <c r="B1362" s="41" t="n"/>
      <c r="C1362" s="41" t="n"/>
      <c r="F1362" s="41" t="n"/>
      <c r="H1362" s="41" t="n"/>
    </row>
    <row r="1363" ht="25.8" customHeight="1">
      <c r="B1363" s="41" t="n"/>
      <c r="C1363" s="41" t="n"/>
      <c r="F1363" s="41" t="n"/>
      <c r="H1363" s="41" t="n"/>
    </row>
    <row r="1364" ht="25.8" customHeight="1">
      <c r="B1364" s="41" t="n"/>
      <c r="C1364" s="41" t="n"/>
      <c r="F1364" s="41" t="n"/>
      <c r="H1364" s="41" t="n"/>
    </row>
    <row r="1365" ht="25.8" customHeight="1">
      <c r="B1365" s="41" t="n"/>
      <c r="C1365" s="41" t="n"/>
      <c r="F1365" s="41" t="n"/>
      <c r="H1365" s="41" t="n"/>
    </row>
    <row r="1366" ht="25.8" customHeight="1">
      <c r="B1366" s="41" t="n"/>
      <c r="C1366" s="41" t="n"/>
      <c r="F1366" s="41" t="n"/>
      <c r="H1366" s="41" t="n"/>
    </row>
    <row r="1367" ht="25.8" customHeight="1">
      <c r="B1367" s="41" t="n"/>
      <c r="C1367" s="41" t="n"/>
      <c r="F1367" s="41" t="n"/>
      <c r="H1367" s="41" t="n"/>
    </row>
    <row r="1368" ht="25.8" customHeight="1">
      <c r="B1368" s="41" t="n"/>
      <c r="C1368" s="41" t="n"/>
      <c r="F1368" s="41" t="n"/>
      <c r="H1368" s="41" t="n"/>
    </row>
    <row r="1369" ht="25.8" customHeight="1">
      <c r="B1369" s="41" t="n"/>
      <c r="C1369" s="41" t="n"/>
      <c r="F1369" s="41" t="n"/>
      <c r="H1369" s="41" t="n"/>
    </row>
    <row r="1370" ht="25.8" customHeight="1">
      <c r="B1370" s="41" t="n"/>
      <c r="C1370" s="41" t="n"/>
      <c r="F1370" s="41" t="n"/>
      <c r="H1370" s="41" t="n"/>
    </row>
    <row r="1371" ht="25.8" customHeight="1">
      <c r="B1371" s="41" t="n"/>
      <c r="C1371" s="41" t="n"/>
      <c r="F1371" s="41" t="n"/>
      <c r="H1371" s="41" t="n"/>
    </row>
    <row r="1372" ht="25.8" customHeight="1">
      <c r="B1372" s="41" t="n"/>
      <c r="C1372" s="41" t="n"/>
      <c r="F1372" s="41" t="n"/>
      <c r="H1372" s="41" t="n"/>
    </row>
    <row r="1373" ht="25.8" customHeight="1">
      <c r="B1373" s="41" t="n"/>
      <c r="C1373" s="41" t="n"/>
      <c r="F1373" s="41" t="n"/>
      <c r="H1373" s="41" t="n"/>
    </row>
    <row r="1374" ht="25.8" customHeight="1">
      <c r="B1374" s="41" t="n"/>
      <c r="C1374" s="41" t="n"/>
      <c r="F1374" s="41" t="n"/>
      <c r="H1374" s="41" t="n"/>
    </row>
    <row r="1375" ht="25.8" customHeight="1">
      <c r="B1375" s="41" t="n"/>
      <c r="C1375" s="41" t="n"/>
      <c r="F1375" s="41" t="n"/>
      <c r="H1375" s="41" t="n"/>
    </row>
    <row r="1376" ht="25.8" customHeight="1">
      <c r="B1376" s="41" t="n"/>
      <c r="C1376" s="41" t="n"/>
      <c r="F1376" s="41" t="n"/>
      <c r="H1376" s="41" t="n"/>
    </row>
    <row r="1377" ht="25.8" customHeight="1">
      <c r="B1377" s="41" t="n"/>
      <c r="C1377" s="41" t="n"/>
      <c r="F1377" s="41" t="n"/>
      <c r="H1377" s="41" t="n"/>
    </row>
    <row r="1378" ht="25.8" customHeight="1">
      <c r="B1378" s="41" t="n"/>
      <c r="C1378" s="41" t="n"/>
      <c r="F1378" s="41" t="n"/>
      <c r="H1378" s="41" t="n"/>
    </row>
    <row r="1379" ht="25.8" customHeight="1">
      <c r="B1379" s="41" t="n"/>
      <c r="C1379" s="41" t="n"/>
      <c r="F1379" s="41" t="n"/>
      <c r="H1379" s="41" t="n"/>
    </row>
    <row r="1380" ht="25.8" customHeight="1">
      <c r="B1380" s="41" t="n"/>
      <c r="C1380" s="41" t="n"/>
      <c r="F1380" s="41" t="n"/>
      <c r="H1380" s="41" t="n"/>
    </row>
    <row r="1381" ht="25.8" customHeight="1">
      <c r="B1381" s="41" t="n"/>
      <c r="C1381" s="41" t="n"/>
      <c r="F1381" s="41" t="n"/>
      <c r="H1381" s="41" t="n"/>
    </row>
    <row r="1382" ht="25.8" customHeight="1">
      <c r="B1382" s="41" t="n"/>
      <c r="C1382" s="41" t="n"/>
      <c r="F1382" s="41" t="n"/>
      <c r="H1382" s="41" t="n"/>
    </row>
    <row r="1383" ht="25.8" customHeight="1">
      <c r="B1383" s="41" t="n"/>
      <c r="C1383" s="41" t="n"/>
      <c r="F1383" s="41" t="n"/>
      <c r="H1383" s="41" t="n"/>
    </row>
    <row r="1384" ht="25.8" customHeight="1">
      <c r="B1384" s="41" t="n"/>
      <c r="C1384" s="41" t="n"/>
      <c r="F1384" s="41" t="n"/>
      <c r="H1384" s="41" t="n"/>
    </row>
    <row r="1385" ht="25.8" customHeight="1">
      <c r="B1385" s="41" t="n"/>
      <c r="C1385" s="41" t="n"/>
      <c r="F1385" s="41" t="n"/>
      <c r="H1385" s="41" t="n"/>
    </row>
    <row r="1386" ht="25.8" customHeight="1">
      <c r="B1386" s="41" t="n"/>
      <c r="C1386" s="41" t="n"/>
      <c r="F1386" s="41" t="n"/>
      <c r="H1386" s="41" t="n"/>
    </row>
    <row r="1387" ht="25.8" customHeight="1">
      <c r="B1387" s="41" t="n"/>
      <c r="C1387" s="41" t="n"/>
      <c r="F1387" s="41" t="n"/>
      <c r="H1387" s="41" t="n"/>
    </row>
    <row r="1388" ht="25.8" customHeight="1">
      <c r="B1388" s="41" t="n"/>
      <c r="C1388" s="41" t="n"/>
      <c r="F1388" s="41" t="n"/>
      <c r="H1388" s="41" t="n"/>
    </row>
    <row r="1389" ht="25.8" customHeight="1">
      <c r="B1389" s="41" t="n"/>
      <c r="C1389" s="41" t="n"/>
      <c r="F1389" s="41" t="n"/>
      <c r="H1389" s="41" t="n"/>
    </row>
    <row r="1390" ht="25.8" customHeight="1">
      <c r="B1390" s="41" t="n"/>
      <c r="C1390" s="41" t="n"/>
      <c r="F1390" s="41" t="n"/>
      <c r="H1390" s="41" t="n"/>
    </row>
    <row r="1391" ht="25.8" customHeight="1">
      <c r="B1391" s="41" t="n"/>
      <c r="C1391" s="41" t="n"/>
      <c r="F1391" s="41" t="n"/>
      <c r="H1391" s="41" t="n"/>
    </row>
    <row r="1392" ht="25.8" customHeight="1">
      <c r="B1392" s="41" t="n"/>
      <c r="C1392" s="41" t="n"/>
      <c r="F1392" s="41" t="n"/>
      <c r="H1392" s="41" t="n"/>
    </row>
    <row r="1393" ht="25.8" customHeight="1">
      <c r="B1393" s="41" t="n"/>
      <c r="C1393" s="41" t="n"/>
      <c r="F1393" s="41" t="n"/>
      <c r="H1393" s="41" t="n"/>
    </row>
    <row r="1394" ht="25.8" customHeight="1">
      <c r="B1394" s="41" t="n"/>
      <c r="C1394" s="41" t="n"/>
      <c r="F1394" s="41" t="n"/>
      <c r="H1394" s="41" t="n"/>
    </row>
    <row r="1395" ht="25.8" customHeight="1">
      <c r="B1395" s="41" t="n"/>
      <c r="C1395" s="41" t="n"/>
      <c r="F1395" s="41" t="n"/>
      <c r="H1395" s="41" t="n"/>
    </row>
    <row r="1396" ht="25.8" customHeight="1">
      <c r="B1396" s="41" t="n"/>
      <c r="C1396" s="41" t="n"/>
      <c r="F1396" s="41" t="n"/>
      <c r="H1396" s="41" t="n"/>
    </row>
    <row r="1397" ht="25.8" customHeight="1">
      <c r="B1397" s="41" t="n"/>
      <c r="C1397" s="41" t="n"/>
      <c r="F1397" s="41" t="n"/>
      <c r="H1397" s="41" t="n"/>
    </row>
    <row r="1398" ht="25.8" customHeight="1">
      <c r="B1398" s="41" t="n"/>
      <c r="C1398" s="41" t="n"/>
      <c r="F1398" s="41" t="n"/>
      <c r="H1398" s="41" t="n"/>
    </row>
    <row r="1399" ht="25.8" customHeight="1">
      <c r="B1399" s="41" t="n"/>
      <c r="C1399" s="41" t="n"/>
      <c r="F1399" s="41" t="n"/>
      <c r="H1399" s="41" t="n"/>
    </row>
    <row r="1400" ht="25.8" customHeight="1">
      <c r="B1400" s="41" t="n"/>
      <c r="C1400" s="41" t="n"/>
      <c r="F1400" s="41" t="n"/>
      <c r="H1400" s="41" t="n"/>
    </row>
    <row r="1401" ht="25.8" customHeight="1">
      <c r="B1401" s="41" t="n"/>
      <c r="C1401" s="41" t="n"/>
      <c r="F1401" s="41" t="n"/>
      <c r="H1401" s="41" t="n"/>
    </row>
    <row r="1402" ht="25.8" customHeight="1">
      <c r="B1402" s="41" t="n"/>
      <c r="C1402" s="41" t="n"/>
      <c r="F1402" s="41" t="n"/>
      <c r="H1402" s="41" t="n"/>
    </row>
    <row r="1403" ht="25.8" customHeight="1">
      <c r="B1403" s="41" t="n"/>
      <c r="C1403" s="41" t="n"/>
      <c r="F1403" s="41" t="n"/>
      <c r="H1403" s="41" t="n"/>
    </row>
    <row r="1404" ht="25.8" customHeight="1">
      <c r="B1404" s="41" t="n"/>
      <c r="C1404" s="41" t="n"/>
      <c r="F1404" s="41" t="n"/>
      <c r="H1404" s="41" t="n"/>
    </row>
    <row r="1405" ht="25.8" customHeight="1">
      <c r="B1405" s="41" t="n"/>
      <c r="C1405" s="41" t="n"/>
      <c r="F1405" s="41" t="n"/>
      <c r="H1405" s="41" t="n"/>
    </row>
    <row r="1406" ht="25.8" customHeight="1">
      <c r="B1406" s="41" t="n"/>
      <c r="C1406" s="41" t="n"/>
      <c r="F1406" s="41" t="n"/>
      <c r="H1406" s="41" t="n"/>
    </row>
    <row r="1407" ht="25.8" customHeight="1">
      <c r="B1407" s="41" t="n"/>
      <c r="C1407" s="41" t="n"/>
      <c r="F1407" s="41" t="n"/>
      <c r="H1407" s="41" t="n"/>
    </row>
    <row r="1408" ht="25.8" customHeight="1">
      <c r="B1408" s="41" t="n"/>
      <c r="C1408" s="41" t="n"/>
      <c r="F1408" s="41" t="n"/>
      <c r="H1408" s="41" t="n"/>
    </row>
    <row r="1409" ht="25.8" customHeight="1">
      <c r="B1409" s="41" t="n"/>
      <c r="C1409" s="41" t="n"/>
      <c r="F1409" s="41" t="n"/>
      <c r="H1409" s="41" t="n"/>
    </row>
    <row r="1410" ht="25.8" customHeight="1">
      <c r="B1410" s="41" t="n"/>
      <c r="C1410" s="41" t="n"/>
      <c r="F1410" s="41" t="n"/>
      <c r="H1410" s="41" t="n"/>
    </row>
    <row r="1411" ht="25.8" customHeight="1">
      <c r="B1411" s="41" t="n"/>
      <c r="C1411" s="41" t="n"/>
      <c r="F1411" s="41" t="n"/>
      <c r="H1411" s="41" t="n"/>
    </row>
    <row r="1412" ht="25.8" customHeight="1">
      <c r="B1412" s="41" t="n"/>
      <c r="C1412" s="41" t="n"/>
      <c r="F1412" s="41" t="n"/>
      <c r="H1412" s="41" t="n"/>
    </row>
    <row r="1413" ht="25.8" customHeight="1">
      <c r="B1413" s="41" t="n"/>
      <c r="C1413" s="41" t="n"/>
      <c r="F1413" s="41" t="n"/>
      <c r="H1413" s="41" t="n"/>
    </row>
    <row r="1414" ht="25.8" customHeight="1">
      <c r="B1414" s="41" t="n"/>
      <c r="C1414" s="41" t="n"/>
      <c r="F1414" s="41" t="n"/>
      <c r="H1414" s="41" t="n"/>
    </row>
    <row r="1415" ht="25.8" customHeight="1">
      <c r="B1415" s="41" t="n"/>
      <c r="C1415" s="41" t="n"/>
      <c r="F1415" s="41" t="n"/>
      <c r="H1415" s="41" t="n"/>
    </row>
    <row r="1416" ht="25.8" customHeight="1">
      <c r="B1416" s="41" t="n"/>
      <c r="C1416" s="41" t="n"/>
      <c r="F1416" s="41" t="n"/>
      <c r="H1416" s="41" t="n"/>
    </row>
    <row r="1417" ht="25.8" customHeight="1">
      <c r="B1417" s="41" t="n"/>
      <c r="C1417" s="41" t="n"/>
      <c r="F1417" s="41" t="n"/>
      <c r="H1417" s="41" t="n"/>
    </row>
    <row r="1418" ht="25.8" customHeight="1">
      <c r="B1418" s="41" t="n"/>
      <c r="C1418" s="41" t="n"/>
      <c r="F1418" s="41" t="n"/>
      <c r="H1418" s="41" t="n"/>
    </row>
    <row r="1419" ht="25.8" customHeight="1">
      <c r="B1419" s="41" t="n"/>
      <c r="C1419" s="41" t="n"/>
      <c r="F1419" s="41" t="n"/>
      <c r="H1419" s="41" t="n"/>
    </row>
    <row r="1420" ht="25.8" customHeight="1">
      <c r="B1420" s="41" t="n"/>
      <c r="C1420" s="41" t="n"/>
      <c r="F1420" s="41" t="n"/>
      <c r="H1420" s="41" t="n"/>
    </row>
    <row r="1421" ht="25.8" customHeight="1">
      <c r="B1421" s="41" t="n"/>
      <c r="C1421" s="41" t="n"/>
      <c r="F1421" s="41" t="n"/>
      <c r="H1421" s="41" t="n"/>
    </row>
    <row r="1422" ht="25.8" customHeight="1">
      <c r="B1422" s="41" t="n"/>
      <c r="C1422" s="41" t="n"/>
      <c r="F1422" s="41" t="n"/>
      <c r="H1422" s="41" t="n"/>
    </row>
    <row r="1423" ht="25.8" customHeight="1">
      <c r="B1423" s="41" t="n"/>
      <c r="C1423" s="41" t="n"/>
      <c r="F1423" s="41" t="n"/>
      <c r="H1423" s="41" t="n"/>
    </row>
    <row r="1424" ht="25.8" customHeight="1">
      <c r="B1424" s="41" t="n"/>
      <c r="C1424" s="41" t="n"/>
      <c r="F1424" s="41" t="n"/>
      <c r="H1424" s="41" t="n"/>
    </row>
    <row r="1425" ht="25.8" customHeight="1">
      <c r="B1425" s="41" t="n"/>
      <c r="C1425" s="41" t="n"/>
      <c r="F1425" s="41" t="n"/>
      <c r="H1425" s="41" t="n"/>
    </row>
    <row r="1426" ht="25.8" customHeight="1">
      <c r="B1426" s="41" t="n"/>
      <c r="C1426" s="41" t="n"/>
      <c r="F1426" s="41" t="n"/>
      <c r="H1426" s="41" t="n"/>
    </row>
    <row r="1427" ht="25.8" customHeight="1">
      <c r="B1427" s="41" t="n"/>
      <c r="C1427" s="41" t="n"/>
      <c r="F1427" s="41" t="n"/>
      <c r="H1427" s="41" t="n"/>
    </row>
    <row r="1428" ht="25.8" customHeight="1">
      <c r="B1428" s="41" t="n"/>
      <c r="C1428" s="41" t="n"/>
      <c r="F1428" s="41" t="n"/>
      <c r="H1428" s="41" t="n"/>
    </row>
    <row r="1429" ht="25.8" customHeight="1">
      <c r="B1429" s="41" t="n"/>
      <c r="C1429" s="41" t="n"/>
      <c r="F1429" s="41" t="n"/>
      <c r="H1429" s="41" t="n"/>
    </row>
    <row r="1430" ht="25.8" customHeight="1">
      <c r="B1430" s="41" t="n"/>
      <c r="C1430" s="41" t="n"/>
      <c r="F1430" s="41" t="n"/>
      <c r="H1430" s="41" t="n"/>
    </row>
    <row r="1431" ht="25.8" customHeight="1">
      <c r="B1431" s="41" t="n"/>
      <c r="C1431" s="41" t="n"/>
      <c r="F1431" s="41" t="n"/>
      <c r="H1431" s="41" t="n"/>
    </row>
    <row r="1432" ht="25.8" customHeight="1">
      <c r="B1432" s="41" t="n"/>
      <c r="C1432" s="41" t="n"/>
      <c r="F1432" s="41" t="n"/>
      <c r="H1432" s="41" t="n"/>
    </row>
    <row r="1433" ht="25.8" customHeight="1">
      <c r="B1433" s="41" t="n"/>
      <c r="C1433" s="41" t="n"/>
      <c r="F1433" s="41" t="n"/>
      <c r="H1433" s="41" t="n"/>
    </row>
    <row r="1434" ht="25.8" customHeight="1">
      <c r="B1434" s="41" t="n"/>
      <c r="C1434" s="41" t="n"/>
      <c r="F1434" s="41" t="n"/>
      <c r="H1434" s="41" t="n"/>
    </row>
    <row r="1435" ht="25.8" customHeight="1">
      <c r="B1435" s="41" t="n"/>
      <c r="C1435" s="41" t="n"/>
      <c r="F1435" s="41" t="n"/>
      <c r="H1435" s="41" t="n"/>
    </row>
    <row r="1436" ht="25.8" customHeight="1">
      <c r="B1436" s="41" t="n"/>
      <c r="C1436" s="41" t="n"/>
      <c r="F1436" s="41" t="n"/>
      <c r="H1436" s="41" t="n"/>
    </row>
    <row r="1437" ht="25.8" customHeight="1">
      <c r="B1437" s="41" t="n"/>
      <c r="C1437" s="41" t="n"/>
      <c r="F1437" s="41" t="n"/>
      <c r="H1437" s="41" t="n"/>
    </row>
    <row r="1438" ht="25.8" customHeight="1">
      <c r="B1438" s="41" t="n"/>
      <c r="C1438" s="41" t="n"/>
      <c r="F1438" s="41" t="n"/>
      <c r="H1438" s="41" t="n"/>
    </row>
    <row r="1439" ht="25.8" customHeight="1">
      <c r="B1439" s="41" t="n"/>
      <c r="C1439" s="41" t="n"/>
      <c r="F1439" s="41" t="n"/>
      <c r="H1439" s="41" t="n"/>
    </row>
    <row r="1440" ht="25.8" customHeight="1">
      <c r="B1440" s="41" t="n"/>
      <c r="C1440" s="41" t="n"/>
      <c r="F1440" s="41" t="n"/>
      <c r="H1440" s="41" t="n"/>
    </row>
    <row r="1441" ht="25.8" customHeight="1">
      <c r="B1441" s="41" t="n"/>
      <c r="C1441" s="41" t="n"/>
      <c r="F1441" s="41" t="n"/>
      <c r="H1441" s="41" t="n"/>
    </row>
    <row r="1442" ht="25.8" customHeight="1">
      <c r="B1442" s="41" t="n"/>
      <c r="C1442" s="41" t="n"/>
      <c r="F1442" s="41" t="n"/>
      <c r="H1442" s="41" t="n"/>
    </row>
    <row r="1443" ht="25.8" customHeight="1">
      <c r="B1443" s="41" t="n"/>
      <c r="C1443" s="41" t="n"/>
      <c r="F1443" s="41" t="n"/>
      <c r="H1443" s="41" t="n"/>
    </row>
    <row r="1444" ht="25.8" customHeight="1">
      <c r="B1444" s="41" t="n"/>
      <c r="C1444" s="41" t="n"/>
      <c r="F1444" s="41" t="n"/>
      <c r="H1444" s="41" t="n"/>
    </row>
    <row r="1445" ht="25.8" customHeight="1">
      <c r="B1445" s="41" t="n"/>
      <c r="C1445" s="41" t="n"/>
      <c r="F1445" s="41" t="n"/>
      <c r="H1445" s="41" t="n"/>
    </row>
    <row r="1446" ht="25.8" customHeight="1">
      <c r="B1446" s="41" t="n"/>
      <c r="C1446" s="41" t="n"/>
      <c r="F1446" s="41" t="n"/>
      <c r="H1446" s="41" t="n"/>
    </row>
    <row r="1447" ht="25.8" customHeight="1">
      <c r="B1447" s="41" t="n"/>
      <c r="C1447" s="41" t="n"/>
      <c r="F1447" s="41" t="n"/>
      <c r="H1447" s="41" t="n"/>
    </row>
    <row r="1448" ht="25.8" customHeight="1">
      <c r="B1448" s="41" t="n"/>
      <c r="C1448" s="41" t="n"/>
      <c r="F1448" s="41" t="n"/>
      <c r="H1448" s="41" t="n"/>
    </row>
    <row r="1449" ht="25.8" customHeight="1">
      <c r="B1449" s="41" t="n"/>
      <c r="C1449" s="41" t="n"/>
      <c r="F1449" s="41" t="n"/>
      <c r="H1449" s="41" t="n"/>
    </row>
    <row r="1450" ht="25.8" customHeight="1">
      <c r="B1450" s="41" t="n"/>
      <c r="C1450" s="41" t="n"/>
      <c r="F1450" s="41" t="n"/>
      <c r="H1450" s="41" t="n"/>
    </row>
    <row r="1451" ht="25.8" customHeight="1">
      <c r="B1451" s="41" t="n"/>
      <c r="C1451" s="41" t="n"/>
      <c r="F1451" s="41" t="n"/>
      <c r="H1451" s="41" t="n"/>
    </row>
    <row r="1452" ht="25.8" customHeight="1">
      <c r="B1452" s="41" t="n"/>
      <c r="C1452" s="41" t="n"/>
      <c r="F1452" s="41" t="n"/>
      <c r="H1452" s="41" t="n"/>
    </row>
    <row r="1453" ht="25.8" customHeight="1">
      <c r="B1453" s="41" t="n"/>
      <c r="C1453" s="41" t="n"/>
      <c r="F1453" s="41" t="n"/>
      <c r="H1453" s="41" t="n"/>
    </row>
    <row r="1454" ht="25.8" customHeight="1">
      <c r="B1454" s="41" t="n"/>
      <c r="C1454" s="41" t="n"/>
      <c r="F1454" s="41" t="n"/>
      <c r="H1454" s="41" t="n"/>
    </row>
    <row r="1455" ht="25.8" customHeight="1">
      <c r="B1455" s="41" t="n"/>
      <c r="C1455" s="41" t="n"/>
      <c r="F1455" s="41" t="n"/>
      <c r="H1455" s="41" t="n"/>
    </row>
    <row r="1456" ht="25.8" customHeight="1">
      <c r="B1456" s="41" t="n"/>
      <c r="C1456" s="41" t="n"/>
      <c r="F1456" s="41" t="n"/>
      <c r="H1456" s="41" t="n"/>
    </row>
    <row r="1457" ht="25.8" customHeight="1">
      <c r="B1457" s="41" t="n"/>
      <c r="C1457" s="41" t="n"/>
      <c r="F1457" s="41" t="n"/>
      <c r="H1457" s="41" t="n"/>
    </row>
    <row r="1458" ht="25.8" customHeight="1">
      <c r="B1458" s="41" t="n"/>
      <c r="C1458" s="41" t="n"/>
      <c r="F1458" s="41" t="n"/>
      <c r="H1458" s="41" t="n"/>
    </row>
    <row r="1459" ht="25.8" customHeight="1">
      <c r="B1459" s="41" t="n"/>
      <c r="C1459" s="41" t="n"/>
      <c r="F1459" s="41" t="n"/>
      <c r="H1459" s="41" t="n"/>
    </row>
    <row r="1460" ht="25.8" customHeight="1">
      <c r="B1460" s="41" t="n"/>
      <c r="C1460" s="41" t="n"/>
      <c r="F1460" s="41" t="n"/>
      <c r="H1460" s="41" t="n"/>
    </row>
    <row r="1461" ht="25.8" customHeight="1">
      <c r="B1461" s="41" t="n"/>
      <c r="C1461" s="41" t="n"/>
      <c r="F1461" s="41" t="n"/>
      <c r="H1461" s="41" t="n"/>
    </row>
    <row r="1462" ht="25.8" customHeight="1">
      <c r="B1462" s="41" t="n"/>
      <c r="C1462" s="41" t="n"/>
      <c r="F1462" s="41" t="n"/>
      <c r="H1462" s="41" t="n"/>
    </row>
    <row r="1463" ht="25.8" customHeight="1">
      <c r="B1463" s="41" t="n"/>
      <c r="C1463" s="41" t="n"/>
      <c r="F1463" s="41" t="n"/>
      <c r="H1463" s="41" t="n"/>
    </row>
    <row r="1464" ht="25.8" customHeight="1">
      <c r="B1464" s="41" t="n"/>
      <c r="C1464" s="41" t="n"/>
      <c r="F1464" s="41" t="n"/>
      <c r="H1464" s="41" t="n"/>
    </row>
    <row r="1465" ht="25.8" customHeight="1">
      <c r="B1465" s="41" t="n"/>
      <c r="C1465" s="41" t="n"/>
      <c r="F1465" s="41" t="n"/>
      <c r="H1465" s="41" t="n"/>
    </row>
    <row r="1466" ht="25.8" customHeight="1">
      <c r="B1466" s="41" t="n"/>
      <c r="C1466" s="41" t="n"/>
      <c r="F1466" s="41" t="n"/>
      <c r="H1466" s="41" t="n"/>
    </row>
    <row r="1467" ht="25.8" customHeight="1">
      <c r="B1467" s="41" t="n"/>
      <c r="C1467" s="41" t="n"/>
      <c r="F1467" s="41" t="n"/>
      <c r="H1467" s="41" t="n"/>
    </row>
    <row r="1468" ht="25.8" customHeight="1">
      <c r="B1468" s="41" t="n"/>
      <c r="C1468" s="41" t="n"/>
      <c r="F1468" s="41" t="n"/>
      <c r="H1468" s="41" t="n"/>
    </row>
    <row r="1469" ht="25.8" customHeight="1">
      <c r="B1469" s="41" t="n"/>
      <c r="C1469" s="41" t="n"/>
      <c r="F1469" s="41" t="n"/>
      <c r="H1469" s="41" t="n"/>
    </row>
    <row r="1470" ht="25.8" customHeight="1">
      <c r="B1470" s="41" t="n"/>
      <c r="C1470" s="41" t="n"/>
      <c r="F1470" s="41" t="n"/>
      <c r="H1470" s="41" t="n"/>
    </row>
    <row r="1471" ht="25.8" customHeight="1">
      <c r="B1471" s="41" t="n"/>
      <c r="C1471" s="41" t="n"/>
      <c r="F1471" s="41" t="n"/>
      <c r="H1471" s="41" t="n"/>
    </row>
    <row r="1472" ht="25.8" customHeight="1">
      <c r="B1472" s="41" t="n"/>
      <c r="C1472" s="41" t="n"/>
      <c r="F1472" s="41" t="n"/>
      <c r="H1472" s="41" t="n"/>
    </row>
    <row r="1473" ht="25.8" customHeight="1">
      <c r="B1473" s="41" t="n"/>
      <c r="C1473" s="41" t="n"/>
      <c r="F1473" s="41" t="n"/>
      <c r="H1473" s="41" t="n"/>
    </row>
    <row r="1474" ht="25.8" customHeight="1">
      <c r="B1474" s="41" t="n"/>
      <c r="C1474" s="41" t="n"/>
      <c r="F1474" s="41" t="n"/>
      <c r="H1474" s="41" t="n"/>
    </row>
    <row r="1475" ht="25.8" customHeight="1">
      <c r="B1475" s="41" t="n"/>
      <c r="C1475" s="41" t="n"/>
      <c r="F1475" s="41" t="n"/>
      <c r="H1475" s="41" t="n"/>
    </row>
    <row r="1476" ht="25.8" customHeight="1">
      <c r="B1476" s="41" t="n"/>
      <c r="C1476" s="41" t="n"/>
      <c r="F1476" s="41" t="n"/>
      <c r="H1476" s="41" t="n"/>
    </row>
    <row r="1477" ht="25.8" customHeight="1">
      <c r="B1477" s="41" t="n"/>
      <c r="C1477" s="41" t="n"/>
      <c r="F1477" s="41" t="n"/>
      <c r="H1477" s="41" t="n"/>
    </row>
    <row r="1478" ht="25.8" customHeight="1">
      <c r="B1478" s="41" t="n"/>
      <c r="C1478" s="41" t="n"/>
      <c r="F1478" s="41" t="n"/>
      <c r="H1478" s="41" t="n"/>
    </row>
    <row r="1479" ht="25.8" customHeight="1">
      <c r="B1479" s="41" t="n"/>
      <c r="C1479" s="41" t="n"/>
      <c r="F1479" s="41" t="n"/>
      <c r="H1479" s="41" t="n"/>
    </row>
    <row r="1480" ht="25.8" customHeight="1">
      <c r="B1480" s="41" t="n"/>
      <c r="C1480" s="41" t="n"/>
      <c r="F1480" s="41" t="n"/>
      <c r="H1480" s="41" t="n"/>
    </row>
    <row r="1481" ht="25.8" customHeight="1">
      <c r="B1481" s="41" t="n"/>
      <c r="C1481" s="41" t="n"/>
      <c r="F1481" s="41" t="n"/>
      <c r="H1481" s="41" t="n"/>
    </row>
    <row r="1482" ht="25.8" customHeight="1">
      <c r="B1482" s="41" t="n"/>
      <c r="C1482" s="41" t="n"/>
      <c r="F1482" s="41" t="n"/>
      <c r="H1482" s="41" t="n"/>
    </row>
    <row r="1483" ht="25.8" customHeight="1">
      <c r="B1483" s="41" t="n"/>
      <c r="C1483" s="41" t="n"/>
      <c r="F1483" s="41" t="n"/>
      <c r="H1483" s="41" t="n"/>
    </row>
    <row r="1484" ht="25.8" customHeight="1">
      <c r="B1484" s="41" t="n"/>
      <c r="C1484" s="41" t="n"/>
      <c r="F1484" s="41" t="n"/>
      <c r="H1484" s="41" t="n"/>
    </row>
    <row r="1485" ht="25.8" customHeight="1">
      <c r="B1485" s="41" t="n"/>
      <c r="C1485" s="41" t="n"/>
      <c r="F1485" s="41" t="n"/>
      <c r="H1485" s="41" t="n"/>
    </row>
    <row r="1486" ht="25.8" customHeight="1">
      <c r="B1486" s="41" t="n"/>
      <c r="C1486" s="41" t="n"/>
      <c r="F1486" s="41" t="n"/>
      <c r="H1486" s="41" t="n"/>
    </row>
    <row r="1487" ht="25.8" customHeight="1">
      <c r="B1487" s="41" t="n"/>
      <c r="C1487" s="41" t="n"/>
      <c r="F1487" s="41" t="n"/>
      <c r="H1487" s="41" t="n"/>
    </row>
    <row r="1488" ht="25.8" customHeight="1">
      <c r="B1488" s="41" t="n"/>
      <c r="C1488" s="41" t="n"/>
      <c r="F1488" s="41" t="n"/>
      <c r="H1488" s="41" t="n"/>
    </row>
    <row r="1489" ht="25.8" customHeight="1">
      <c r="B1489" s="41" t="n"/>
      <c r="C1489" s="41" t="n"/>
      <c r="F1489" s="41" t="n"/>
      <c r="H1489" s="41" t="n"/>
    </row>
    <row r="1490" ht="25.8" customHeight="1">
      <c r="B1490" s="41" t="n"/>
      <c r="C1490" s="41" t="n"/>
      <c r="F1490" s="41" t="n"/>
      <c r="H1490" s="41" t="n"/>
    </row>
    <row r="1491" ht="25.8" customHeight="1">
      <c r="B1491" s="41" t="n"/>
      <c r="C1491" s="41" t="n"/>
      <c r="F1491" s="41" t="n"/>
      <c r="H1491" s="41" t="n"/>
    </row>
    <row r="1492" ht="25.8" customHeight="1">
      <c r="B1492" s="41" t="n"/>
      <c r="C1492" s="41" t="n"/>
      <c r="F1492" s="41" t="n"/>
      <c r="H1492" s="41" t="n"/>
    </row>
    <row r="1493" ht="25.8" customHeight="1">
      <c r="B1493" s="41" t="n"/>
      <c r="C1493" s="41" t="n"/>
      <c r="F1493" s="41" t="n"/>
      <c r="H1493" s="41" t="n"/>
    </row>
    <row r="1494" ht="25.8" customHeight="1">
      <c r="B1494" s="41" t="n"/>
      <c r="C1494" s="41" t="n"/>
      <c r="F1494" s="41" t="n"/>
      <c r="H1494" s="41" t="n"/>
    </row>
    <row r="1495" ht="25.8" customHeight="1">
      <c r="B1495" s="41" t="n"/>
      <c r="C1495" s="41" t="n"/>
      <c r="F1495" s="41" t="n"/>
      <c r="H1495" s="41" t="n"/>
    </row>
    <row r="1496" ht="25.8" customHeight="1">
      <c r="B1496" s="41" t="n"/>
      <c r="C1496" s="41" t="n"/>
      <c r="F1496" s="41" t="n"/>
      <c r="H1496" s="41" t="n"/>
    </row>
    <row r="1497" ht="25.8" customHeight="1">
      <c r="B1497" s="41" t="n"/>
      <c r="C1497" s="41" t="n"/>
      <c r="F1497" s="41" t="n"/>
      <c r="H1497" s="41" t="n"/>
    </row>
    <row r="1498" ht="25.8" customHeight="1">
      <c r="B1498" s="41" t="n"/>
      <c r="C1498" s="41" t="n"/>
      <c r="F1498" s="41" t="n"/>
      <c r="H1498" s="41" t="n"/>
    </row>
    <row r="1499" ht="25.8" customHeight="1">
      <c r="B1499" s="41" t="n"/>
      <c r="C1499" s="41" t="n"/>
      <c r="F1499" s="41" t="n"/>
      <c r="H1499" s="41" t="n"/>
    </row>
    <row r="1500" ht="25.8" customHeight="1">
      <c r="B1500" s="41" t="n"/>
      <c r="C1500" s="41" t="n"/>
      <c r="F1500" s="41" t="n"/>
      <c r="H1500" s="41" t="n"/>
    </row>
    <row r="1501" ht="25.8" customHeight="1">
      <c r="B1501" s="41" t="n"/>
      <c r="C1501" s="41" t="n"/>
      <c r="F1501" s="41" t="n"/>
      <c r="H1501" s="41" t="n"/>
    </row>
    <row r="1502" ht="25.8" customHeight="1">
      <c r="B1502" s="41" t="n"/>
      <c r="C1502" s="41" t="n"/>
      <c r="F1502" s="41" t="n"/>
      <c r="H1502" s="41" t="n"/>
    </row>
    <row r="1503" ht="25.8" customHeight="1">
      <c r="B1503" s="41" t="n"/>
      <c r="C1503" s="41" t="n"/>
      <c r="F1503" s="41" t="n"/>
      <c r="H1503" s="41" t="n"/>
    </row>
    <row r="1504" ht="25.8" customHeight="1">
      <c r="B1504" s="41" t="n"/>
      <c r="C1504" s="41" t="n"/>
      <c r="F1504" s="41" t="n"/>
      <c r="H1504" s="41" t="n"/>
    </row>
    <row r="1505" ht="25.8" customHeight="1">
      <c r="B1505" s="41" t="n"/>
      <c r="C1505" s="41" t="n"/>
      <c r="F1505" s="41" t="n"/>
      <c r="H1505" s="41" t="n"/>
    </row>
    <row r="1506" ht="25.8" customHeight="1">
      <c r="B1506" s="41" t="n"/>
      <c r="C1506" s="41" t="n"/>
      <c r="F1506" s="41" t="n"/>
      <c r="H1506" s="41" t="n"/>
    </row>
    <row r="1507" ht="25.8" customHeight="1">
      <c r="B1507" s="41" t="n"/>
      <c r="C1507" s="41" t="n"/>
      <c r="F1507" s="41" t="n"/>
      <c r="H1507" s="41" t="n"/>
    </row>
    <row r="1508" ht="25.8" customHeight="1">
      <c r="B1508" s="41" t="n"/>
      <c r="C1508" s="41" t="n"/>
      <c r="F1508" s="41" t="n"/>
      <c r="H1508" s="41" t="n"/>
    </row>
    <row r="1509" ht="25.8" customHeight="1">
      <c r="B1509" s="41" t="n"/>
      <c r="C1509" s="41" t="n"/>
      <c r="F1509" s="41" t="n"/>
      <c r="H1509" s="41" t="n"/>
    </row>
    <row r="1510" ht="25.8" customHeight="1">
      <c r="B1510" s="41" t="n"/>
      <c r="C1510" s="41" t="n"/>
      <c r="F1510" s="41" t="n"/>
      <c r="H1510" s="41" t="n"/>
    </row>
    <row r="1511" ht="25.8" customHeight="1">
      <c r="B1511" s="41" t="n"/>
      <c r="C1511" s="41" t="n"/>
      <c r="F1511" s="41" t="n"/>
      <c r="H1511" s="41" t="n"/>
    </row>
    <row r="1512" ht="25.8" customHeight="1">
      <c r="B1512" s="41" t="n"/>
      <c r="C1512" s="41" t="n"/>
      <c r="F1512" s="41" t="n"/>
      <c r="H1512" s="41" t="n"/>
    </row>
    <row r="1513" ht="25.8" customHeight="1">
      <c r="B1513" s="41" t="n"/>
      <c r="C1513" s="41" t="n"/>
      <c r="F1513" s="41" t="n"/>
      <c r="H1513" s="41" t="n"/>
    </row>
    <row r="1514" ht="25.8" customHeight="1">
      <c r="B1514" s="41" t="n"/>
      <c r="C1514" s="41" t="n"/>
      <c r="F1514" s="41" t="n"/>
      <c r="H1514" s="41" t="n"/>
    </row>
    <row r="1515" ht="25.8" customHeight="1">
      <c r="B1515" s="41" t="n"/>
      <c r="C1515" s="41" t="n"/>
      <c r="F1515" s="41" t="n"/>
      <c r="H1515" s="41" t="n"/>
    </row>
    <row r="1516" ht="25.8" customHeight="1">
      <c r="B1516" s="41" t="n"/>
      <c r="C1516" s="41" t="n"/>
      <c r="F1516" s="41" t="n"/>
      <c r="H1516" s="41" t="n"/>
    </row>
    <row r="1517" ht="25.8" customHeight="1">
      <c r="B1517" s="41" t="n"/>
      <c r="C1517" s="41" t="n"/>
      <c r="F1517" s="41" t="n"/>
      <c r="H1517" s="41" t="n"/>
    </row>
    <row r="1518" ht="25.8" customHeight="1">
      <c r="B1518" s="41" t="n"/>
      <c r="C1518" s="41" t="n"/>
      <c r="F1518" s="41" t="n"/>
      <c r="H1518" s="41" t="n"/>
    </row>
    <row r="1519" ht="25.8" customHeight="1">
      <c r="B1519" s="41" t="n"/>
      <c r="C1519" s="41" t="n"/>
      <c r="F1519" s="41" t="n"/>
      <c r="H1519" s="41" t="n"/>
    </row>
    <row r="1520" ht="25.8" customHeight="1">
      <c r="B1520" s="41" t="n"/>
      <c r="C1520" s="41" t="n"/>
      <c r="F1520" s="41" t="n"/>
      <c r="H1520" s="41" t="n"/>
    </row>
    <row r="1521" ht="25.8" customHeight="1">
      <c r="B1521" s="41" t="n"/>
      <c r="C1521" s="41" t="n"/>
      <c r="F1521" s="41" t="n"/>
      <c r="H1521" s="41" t="n"/>
    </row>
    <row r="1522" ht="25.8" customHeight="1">
      <c r="B1522" s="41" t="n"/>
      <c r="C1522" s="41" t="n"/>
      <c r="F1522" s="41" t="n"/>
      <c r="H1522" s="41" t="n"/>
    </row>
    <row r="1523" ht="25.8" customHeight="1">
      <c r="B1523" s="41" t="n"/>
      <c r="C1523" s="41" t="n"/>
      <c r="F1523" s="41" t="n"/>
      <c r="H1523" s="41" t="n"/>
    </row>
    <row r="1524" ht="25.8" customHeight="1">
      <c r="B1524" s="41" t="n"/>
      <c r="C1524" s="41" t="n"/>
      <c r="F1524" s="41" t="n"/>
      <c r="H1524" s="41" t="n"/>
    </row>
    <row r="1525" ht="25.8" customHeight="1">
      <c r="B1525" s="41" t="n"/>
      <c r="C1525" s="41" t="n"/>
      <c r="F1525" s="41" t="n"/>
      <c r="H1525" s="41" t="n"/>
    </row>
    <row r="1526" ht="25.8" customHeight="1">
      <c r="B1526" s="41" t="n"/>
      <c r="C1526" s="41" t="n"/>
      <c r="F1526" s="41" t="n"/>
      <c r="H1526" s="41" t="n"/>
    </row>
    <row r="1527" ht="25.8" customHeight="1">
      <c r="B1527" s="41" t="n"/>
      <c r="C1527" s="41" t="n"/>
      <c r="F1527" s="41" t="n"/>
      <c r="H1527" s="41" t="n"/>
    </row>
    <row r="1528" ht="25.8" customHeight="1">
      <c r="B1528" s="41" t="n"/>
      <c r="C1528" s="41" t="n"/>
      <c r="F1528" s="41" t="n"/>
      <c r="H1528" s="41" t="n"/>
    </row>
    <row r="1529" ht="25.8" customHeight="1">
      <c r="B1529" s="41" t="n"/>
      <c r="C1529" s="41" t="n"/>
      <c r="F1529" s="41" t="n"/>
      <c r="H1529" s="41" t="n"/>
    </row>
    <row r="1530" ht="25.8" customHeight="1">
      <c r="B1530" s="41" t="n"/>
      <c r="C1530" s="41" t="n"/>
      <c r="F1530" s="41" t="n"/>
      <c r="H1530" s="41" t="n"/>
    </row>
    <row r="1531" ht="25.8" customHeight="1">
      <c r="B1531" s="41" t="n"/>
      <c r="C1531" s="41" t="n"/>
      <c r="F1531" s="41" t="n"/>
      <c r="H1531" s="41" t="n"/>
    </row>
    <row r="1532" ht="25.8" customHeight="1">
      <c r="B1532" s="41" t="n"/>
      <c r="C1532" s="41" t="n"/>
      <c r="F1532" s="41" t="n"/>
      <c r="H1532" s="41" t="n"/>
    </row>
    <row r="1533" ht="25.8" customHeight="1">
      <c r="B1533" s="41" t="n"/>
      <c r="C1533" s="41" t="n"/>
      <c r="F1533" s="41" t="n"/>
      <c r="H1533" s="41" t="n"/>
    </row>
    <row r="1534" ht="25.8" customHeight="1">
      <c r="B1534" s="41" t="n"/>
      <c r="C1534" s="41" t="n"/>
      <c r="F1534" s="41" t="n"/>
      <c r="H1534" s="41" t="n"/>
    </row>
    <row r="1535" ht="25.8" customHeight="1">
      <c r="B1535" s="41" t="n"/>
      <c r="C1535" s="41" t="n"/>
      <c r="F1535" s="41" t="n"/>
      <c r="H1535" s="41" t="n"/>
    </row>
    <row r="1536" ht="25.8" customHeight="1">
      <c r="B1536" s="41" t="n"/>
      <c r="C1536" s="41" t="n"/>
      <c r="F1536" s="41" t="n"/>
      <c r="H1536" s="41" t="n"/>
    </row>
    <row r="1537" ht="25.8" customHeight="1">
      <c r="B1537" s="41" t="n"/>
      <c r="C1537" s="41" t="n"/>
      <c r="F1537" s="41" t="n"/>
      <c r="H1537" s="41" t="n"/>
    </row>
    <row r="1538" ht="25.8" customHeight="1">
      <c r="B1538" s="41" t="n"/>
      <c r="C1538" s="41" t="n"/>
      <c r="F1538" s="41" t="n"/>
      <c r="H1538" s="41" t="n"/>
    </row>
    <row r="1539" ht="25.8" customHeight="1">
      <c r="B1539" s="41" t="n"/>
      <c r="C1539" s="41" t="n"/>
      <c r="F1539" s="41" t="n"/>
      <c r="H1539" s="41" t="n"/>
    </row>
    <row r="1540" ht="25.8" customHeight="1">
      <c r="B1540" s="41" t="n"/>
      <c r="C1540" s="41" t="n"/>
      <c r="F1540" s="41" t="n"/>
      <c r="H1540" s="41" t="n"/>
    </row>
    <row r="1541" ht="25.8" customHeight="1">
      <c r="B1541" s="41" t="n"/>
      <c r="C1541" s="41" t="n"/>
      <c r="F1541" s="41" t="n"/>
      <c r="H1541" s="41" t="n"/>
    </row>
    <row r="1542" ht="25.8" customHeight="1">
      <c r="B1542" s="41" t="n"/>
      <c r="C1542" s="41" t="n"/>
      <c r="F1542" s="41" t="n"/>
      <c r="H1542" s="41" t="n"/>
    </row>
    <row r="1543" ht="25.8" customHeight="1">
      <c r="B1543" s="41" t="n"/>
      <c r="C1543" s="41" t="n"/>
      <c r="F1543" s="41" t="n"/>
      <c r="H1543" s="41" t="n"/>
    </row>
    <row r="1544" ht="25.8" customHeight="1">
      <c r="B1544" s="41" t="n"/>
      <c r="C1544" s="41" t="n"/>
      <c r="F1544" s="41" t="n"/>
      <c r="H1544" s="41" t="n"/>
    </row>
    <row r="1545" ht="25.8" customHeight="1">
      <c r="B1545" s="41" t="n"/>
      <c r="C1545" s="41" t="n"/>
      <c r="F1545" s="41" t="n"/>
      <c r="H1545" s="41" t="n"/>
    </row>
    <row r="1546" ht="25.8" customHeight="1">
      <c r="B1546" s="41" t="n"/>
      <c r="C1546" s="41" t="n"/>
      <c r="F1546" s="41" t="n"/>
      <c r="H1546" s="41" t="n"/>
    </row>
    <row r="1547" ht="25.8" customHeight="1">
      <c r="B1547" s="41" t="n"/>
      <c r="C1547" s="41" t="n"/>
      <c r="F1547" s="41" t="n"/>
      <c r="H1547" s="41" t="n"/>
    </row>
    <row r="1548" ht="25.8" customHeight="1">
      <c r="B1548" s="41" t="n"/>
      <c r="C1548" s="41" t="n"/>
      <c r="F1548" s="41" t="n"/>
      <c r="H1548" s="41" t="n"/>
    </row>
    <row r="1549" ht="25.8" customHeight="1">
      <c r="B1549" s="41" t="n"/>
      <c r="C1549" s="41" t="n"/>
      <c r="F1549" s="41" t="n"/>
      <c r="H1549" s="41" t="n"/>
    </row>
    <row r="1550" ht="25.8" customHeight="1">
      <c r="B1550" s="41" t="n"/>
      <c r="C1550" s="41" t="n"/>
      <c r="F1550" s="41" t="n"/>
      <c r="H1550" s="41" t="n"/>
    </row>
    <row r="1551" ht="25.8" customHeight="1">
      <c r="B1551" s="41" t="n"/>
      <c r="C1551" s="41" t="n"/>
      <c r="F1551" s="41" t="n"/>
      <c r="H1551" s="41" t="n"/>
    </row>
    <row r="1552" ht="25.8" customHeight="1">
      <c r="B1552" s="41" t="n"/>
      <c r="C1552" s="41" t="n"/>
      <c r="F1552" s="41" t="n"/>
      <c r="H1552" s="41" t="n"/>
    </row>
    <row r="1553" ht="25.8" customHeight="1">
      <c r="B1553" s="41" t="n"/>
      <c r="C1553" s="41" t="n"/>
      <c r="F1553" s="41" t="n"/>
      <c r="H1553" s="41" t="n"/>
    </row>
    <row r="1554" ht="25.8" customHeight="1">
      <c r="B1554" s="41" t="n"/>
      <c r="C1554" s="41" t="n"/>
      <c r="F1554" s="41" t="n"/>
      <c r="H1554" s="41" t="n"/>
    </row>
    <row r="1555" ht="25.8" customHeight="1">
      <c r="B1555" s="41" t="n"/>
      <c r="C1555" s="41" t="n"/>
      <c r="F1555" s="41" t="n"/>
      <c r="H1555" s="41" t="n"/>
    </row>
    <row r="1556" ht="25.8" customHeight="1">
      <c r="B1556" s="41" t="n"/>
      <c r="C1556" s="41" t="n"/>
      <c r="F1556" s="41" t="n"/>
      <c r="H1556" s="41" t="n"/>
    </row>
    <row r="1557" ht="25.8" customHeight="1">
      <c r="B1557" s="41" t="n"/>
      <c r="C1557" s="41" t="n"/>
      <c r="F1557" s="41" t="n"/>
      <c r="H1557" s="41" t="n"/>
    </row>
    <row r="1558" ht="25.8" customHeight="1">
      <c r="B1558" s="41" t="n"/>
      <c r="C1558" s="41" t="n"/>
      <c r="F1558" s="41" t="n"/>
      <c r="H1558" s="41" t="n"/>
    </row>
    <row r="1559" ht="25.8" customHeight="1">
      <c r="B1559" s="41" t="n"/>
      <c r="C1559" s="41" t="n"/>
      <c r="F1559" s="41" t="n"/>
      <c r="H1559" s="41" t="n"/>
    </row>
    <row r="1560" ht="25.8" customHeight="1">
      <c r="B1560" s="41" t="n"/>
      <c r="C1560" s="41" t="n"/>
      <c r="F1560" s="41" t="n"/>
      <c r="H1560" s="41" t="n"/>
    </row>
    <row r="1561" ht="25.8" customHeight="1">
      <c r="B1561" s="41" t="n"/>
      <c r="C1561" s="41" t="n"/>
      <c r="F1561" s="41" t="n"/>
      <c r="H1561" s="41" t="n"/>
    </row>
    <row r="1562" ht="25.8" customHeight="1">
      <c r="B1562" s="41" t="n"/>
      <c r="C1562" s="41" t="n"/>
      <c r="F1562" s="41" t="n"/>
      <c r="H1562" s="41" t="n"/>
    </row>
    <row r="1563" ht="25.8" customHeight="1">
      <c r="B1563" s="41" t="n"/>
      <c r="C1563" s="41" t="n"/>
      <c r="F1563" s="41" t="n"/>
      <c r="H1563" s="41" t="n"/>
    </row>
    <row r="1564" ht="25.8" customHeight="1">
      <c r="B1564" s="41" t="n"/>
      <c r="C1564" s="41" t="n"/>
      <c r="F1564" s="41" t="n"/>
      <c r="H1564" s="41" t="n"/>
    </row>
    <row r="1565" ht="25.8" customHeight="1">
      <c r="B1565" s="41" t="n"/>
      <c r="C1565" s="41" t="n"/>
      <c r="F1565" s="41" t="n"/>
      <c r="H1565" s="41" t="n"/>
    </row>
    <row r="1566" ht="25.8" customHeight="1">
      <c r="B1566" s="41" t="n"/>
      <c r="C1566" s="41" t="n"/>
      <c r="F1566" s="41" t="n"/>
      <c r="H1566" s="41" t="n"/>
    </row>
    <row r="1567" ht="25.8" customHeight="1">
      <c r="B1567" s="41" t="n"/>
      <c r="C1567" s="41" t="n"/>
      <c r="F1567" s="41" t="n"/>
      <c r="H1567" s="41" t="n"/>
    </row>
    <row r="1568" ht="25.8" customHeight="1">
      <c r="B1568" s="41" t="n"/>
      <c r="C1568" s="41" t="n"/>
      <c r="F1568" s="41" t="n"/>
      <c r="H1568" s="41" t="n"/>
    </row>
    <row r="1569" ht="25.8" customHeight="1">
      <c r="B1569" s="41" t="n"/>
      <c r="C1569" s="41" t="n"/>
      <c r="F1569" s="41" t="n"/>
      <c r="H1569" s="41" t="n"/>
    </row>
    <row r="1570" ht="25.8" customHeight="1">
      <c r="B1570" s="41" t="n"/>
      <c r="C1570" s="41" t="n"/>
      <c r="F1570" s="41" t="n"/>
      <c r="H1570" s="41" t="n"/>
    </row>
    <row r="1571" ht="25.8" customHeight="1">
      <c r="B1571" s="41" t="n"/>
      <c r="C1571" s="41" t="n"/>
      <c r="F1571" s="41" t="n"/>
      <c r="H1571" s="41" t="n"/>
    </row>
    <row r="1572" ht="25.8" customHeight="1">
      <c r="B1572" s="41" t="n"/>
      <c r="C1572" s="41" t="n"/>
      <c r="F1572" s="41" t="n"/>
      <c r="H1572" s="41" t="n"/>
    </row>
    <row r="1573" ht="25.8" customHeight="1">
      <c r="B1573" s="41" t="n"/>
      <c r="C1573" s="41" t="n"/>
      <c r="F1573" s="41" t="n"/>
      <c r="H1573" s="41" t="n"/>
    </row>
    <row r="1574" ht="25.8" customHeight="1">
      <c r="B1574" s="41" t="n"/>
      <c r="C1574" s="41" t="n"/>
      <c r="F1574" s="41" t="n"/>
      <c r="H1574" s="41" t="n"/>
    </row>
    <row r="1575" ht="25.8" customHeight="1">
      <c r="B1575" s="41" t="n"/>
      <c r="C1575" s="41" t="n"/>
      <c r="F1575" s="41" t="n"/>
      <c r="H1575" s="41" t="n"/>
    </row>
    <row r="1576" ht="25.8" customHeight="1">
      <c r="B1576" s="41" t="n"/>
      <c r="C1576" s="41" t="n"/>
      <c r="F1576" s="41" t="n"/>
      <c r="H1576" s="41" t="n"/>
    </row>
    <row r="1577" ht="25.8" customHeight="1">
      <c r="B1577" s="41" t="n"/>
      <c r="C1577" s="41" t="n"/>
      <c r="F1577" s="41" t="n"/>
      <c r="H1577" s="41" t="n"/>
    </row>
    <row r="1578" ht="25.8" customHeight="1">
      <c r="B1578" s="41" t="n"/>
      <c r="C1578" s="41" t="n"/>
      <c r="F1578" s="41" t="n"/>
      <c r="H1578" s="41" t="n"/>
    </row>
    <row r="1579" ht="25.8" customHeight="1">
      <c r="B1579" s="41" t="n"/>
      <c r="C1579" s="41" t="n"/>
      <c r="F1579" s="41" t="n"/>
      <c r="H1579" s="41" t="n"/>
    </row>
    <row r="1580" ht="25.8" customHeight="1">
      <c r="B1580" s="41" t="n"/>
      <c r="C1580" s="41" t="n"/>
      <c r="F1580" s="41" t="n"/>
      <c r="H1580" s="41" t="n"/>
    </row>
    <row r="1581" ht="25.8" customHeight="1">
      <c r="B1581" s="41" t="n"/>
      <c r="C1581" s="41" t="n"/>
      <c r="F1581" s="41" t="n"/>
      <c r="H1581" s="41" t="n"/>
    </row>
    <row r="1582" ht="25.8" customHeight="1">
      <c r="B1582" s="41" t="n"/>
      <c r="C1582" s="41" t="n"/>
      <c r="F1582" s="41" t="n"/>
      <c r="H1582" s="41" t="n"/>
    </row>
    <row r="1583" ht="25.8" customHeight="1">
      <c r="B1583" s="41" t="n"/>
      <c r="C1583" s="41" t="n"/>
      <c r="F1583" s="41" t="n"/>
      <c r="H1583" s="41" t="n"/>
    </row>
    <row r="1584" ht="25.8" customHeight="1">
      <c r="B1584" s="41" t="n"/>
      <c r="C1584" s="41" t="n"/>
      <c r="F1584" s="41" t="n"/>
      <c r="H1584" s="41" t="n"/>
    </row>
    <row r="1585" ht="25.8" customHeight="1">
      <c r="B1585" s="41" t="n"/>
      <c r="C1585" s="41" t="n"/>
      <c r="F1585" s="41" t="n"/>
      <c r="H1585" s="41" t="n"/>
    </row>
    <row r="1586" ht="25.8" customHeight="1">
      <c r="B1586" s="41" t="n"/>
      <c r="C1586" s="41" t="n"/>
      <c r="F1586" s="41" t="n"/>
      <c r="H1586" s="41" t="n"/>
    </row>
    <row r="1587" ht="25.8" customHeight="1">
      <c r="B1587" s="41" t="n"/>
      <c r="C1587" s="41" t="n"/>
      <c r="F1587" s="41" t="n"/>
      <c r="H1587" s="41" t="n"/>
    </row>
    <row r="1588" ht="25.8" customHeight="1">
      <c r="B1588" s="41" t="n"/>
      <c r="C1588" s="41" t="n"/>
      <c r="F1588" s="41" t="n"/>
      <c r="H1588" s="41" t="n"/>
    </row>
    <row r="1589" ht="25.8" customHeight="1">
      <c r="B1589" s="41" t="n"/>
      <c r="C1589" s="41" t="n"/>
      <c r="F1589" s="41" t="n"/>
      <c r="H1589" s="41" t="n"/>
    </row>
    <row r="1590" ht="25.8" customHeight="1">
      <c r="B1590" s="41" t="n"/>
      <c r="C1590" s="41" t="n"/>
      <c r="F1590" s="41" t="n"/>
      <c r="H1590" s="41" t="n"/>
    </row>
    <row r="1591" ht="25.8" customHeight="1">
      <c r="B1591" s="41" t="n"/>
      <c r="C1591" s="41" t="n"/>
      <c r="F1591" s="41" t="n"/>
      <c r="H1591" s="41" t="n"/>
    </row>
    <row r="1592" ht="25.8" customHeight="1">
      <c r="B1592" s="41" t="n"/>
      <c r="C1592" s="41" t="n"/>
      <c r="F1592" s="41" t="n"/>
      <c r="H1592" s="41" t="n"/>
    </row>
    <row r="1593" ht="25.8" customHeight="1">
      <c r="B1593" s="41" t="n"/>
      <c r="C1593" s="41" t="n"/>
      <c r="F1593" s="41" t="n"/>
      <c r="H1593" s="41" t="n"/>
    </row>
    <row r="1594" ht="25.8" customHeight="1">
      <c r="B1594" s="41" t="n"/>
      <c r="C1594" s="41" t="n"/>
      <c r="F1594" s="41" t="n"/>
      <c r="H1594" s="41" t="n"/>
    </row>
    <row r="1595" ht="25.8" customHeight="1">
      <c r="B1595" s="41" t="n"/>
      <c r="C1595" s="41" t="n"/>
      <c r="F1595" s="41" t="n"/>
      <c r="H1595" s="41" t="n"/>
    </row>
    <row r="1596" ht="25.8" customHeight="1">
      <c r="B1596" s="41" t="n"/>
      <c r="C1596" s="41" t="n"/>
      <c r="F1596" s="41" t="n"/>
      <c r="H1596" s="41" t="n"/>
    </row>
    <row r="1597" ht="25.8" customHeight="1">
      <c r="B1597" s="41" t="n"/>
      <c r="C1597" s="41" t="n"/>
      <c r="F1597" s="41" t="n"/>
      <c r="H1597" s="41" t="n"/>
    </row>
    <row r="1598" ht="25.8" customHeight="1">
      <c r="B1598" s="41" t="n"/>
      <c r="C1598" s="41" t="n"/>
      <c r="F1598" s="41" t="n"/>
      <c r="H1598" s="41" t="n"/>
    </row>
    <row r="1599" ht="25.8" customHeight="1">
      <c r="B1599" s="41" t="n"/>
      <c r="C1599" s="41" t="n"/>
      <c r="F1599" s="41" t="n"/>
      <c r="H1599" s="41" t="n"/>
    </row>
    <row r="1600" ht="25.8" customHeight="1">
      <c r="B1600" s="41" t="n"/>
      <c r="C1600" s="41" t="n"/>
      <c r="F1600" s="41" t="n"/>
      <c r="H1600" s="41" t="n"/>
    </row>
    <row r="1601" ht="25.8" customHeight="1">
      <c r="B1601" s="41" t="n"/>
      <c r="C1601" s="41" t="n"/>
      <c r="F1601" s="41" t="n"/>
      <c r="H1601" s="41" t="n"/>
    </row>
    <row r="1602" ht="25.8" customHeight="1">
      <c r="B1602" s="41" t="n"/>
      <c r="C1602" s="41" t="n"/>
      <c r="F1602" s="41" t="n"/>
      <c r="H1602" s="41" t="n"/>
    </row>
    <row r="1603" ht="25.8" customHeight="1">
      <c r="B1603" s="41" t="n"/>
      <c r="C1603" s="41" t="n"/>
      <c r="F1603" s="41" t="n"/>
      <c r="H1603" s="41" t="n"/>
    </row>
    <row r="1604" ht="25.8" customHeight="1">
      <c r="B1604" s="41" t="n"/>
      <c r="C1604" s="41" t="n"/>
      <c r="F1604" s="41" t="n"/>
      <c r="H1604" s="41" t="n"/>
    </row>
    <row r="1605" ht="25.8" customHeight="1">
      <c r="B1605" s="41" t="n"/>
      <c r="C1605" s="41" t="n"/>
      <c r="F1605" s="41" t="n"/>
      <c r="H1605" s="41" t="n"/>
    </row>
    <row r="1606" ht="25.8" customHeight="1">
      <c r="B1606" s="41" t="n"/>
      <c r="C1606" s="41" t="n"/>
      <c r="F1606" s="41" t="n"/>
      <c r="H1606" s="41" t="n"/>
    </row>
    <row r="1607" ht="25.8" customHeight="1">
      <c r="B1607" s="41" t="n"/>
      <c r="C1607" s="41" t="n"/>
      <c r="F1607" s="41" t="n"/>
      <c r="H1607" s="41" t="n"/>
    </row>
    <row r="1608" ht="25.8" customHeight="1">
      <c r="B1608" s="41" t="n"/>
      <c r="C1608" s="41" t="n"/>
      <c r="F1608" s="41" t="n"/>
      <c r="H1608" s="41" t="n"/>
    </row>
    <row r="1609" ht="25.8" customHeight="1">
      <c r="B1609" s="41" t="n"/>
      <c r="C1609" s="41" t="n"/>
      <c r="F1609" s="41" t="n"/>
      <c r="H1609" s="41" t="n"/>
    </row>
    <row r="1610" ht="25.8" customHeight="1">
      <c r="B1610" s="41" t="n"/>
      <c r="C1610" s="41" t="n"/>
      <c r="F1610" s="41" t="n"/>
      <c r="H1610" s="41" t="n"/>
    </row>
    <row r="1611" ht="25.8" customHeight="1">
      <c r="B1611" s="41" t="n"/>
      <c r="C1611" s="41" t="n"/>
      <c r="F1611" s="41" t="n"/>
      <c r="H1611" s="41" t="n"/>
    </row>
    <row r="1612" ht="25.8" customHeight="1">
      <c r="B1612" s="41" t="n"/>
      <c r="C1612" s="41" t="n"/>
      <c r="F1612" s="41" t="n"/>
      <c r="H1612" s="41" t="n"/>
    </row>
    <row r="1613" ht="25.8" customHeight="1">
      <c r="B1613" s="41" t="n"/>
      <c r="C1613" s="41" t="n"/>
      <c r="F1613" s="41" t="n"/>
      <c r="H1613" s="41" t="n"/>
    </row>
    <row r="1614" ht="25.8" customHeight="1">
      <c r="B1614" s="41" t="n"/>
      <c r="C1614" s="41" t="n"/>
      <c r="F1614" s="41" t="n"/>
      <c r="H1614" s="41" t="n"/>
    </row>
    <row r="1615" ht="25.8" customHeight="1">
      <c r="B1615" s="41" t="n"/>
      <c r="C1615" s="41" t="n"/>
      <c r="F1615" s="41" t="n"/>
      <c r="H1615" s="41" t="n"/>
    </row>
    <row r="1616" ht="25.8" customHeight="1">
      <c r="B1616" s="41" t="n"/>
      <c r="C1616" s="41" t="n"/>
      <c r="F1616" s="41" t="n"/>
      <c r="H1616" s="41" t="n"/>
    </row>
    <row r="1617" ht="25.8" customHeight="1">
      <c r="B1617" s="41" t="n"/>
      <c r="C1617" s="41" t="n"/>
      <c r="F1617" s="41" t="n"/>
      <c r="H1617" s="41" t="n"/>
    </row>
    <row r="1618" ht="25.8" customHeight="1">
      <c r="B1618" s="41" t="n"/>
      <c r="C1618" s="41" t="n"/>
      <c r="F1618" s="41" t="n"/>
      <c r="H1618" s="41" t="n"/>
    </row>
    <row r="1619" ht="25.8" customHeight="1">
      <c r="B1619" s="41" t="n"/>
      <c r="C1619" s="41" t="n"/>
      <c r="F1619" s="41" t="n"/>
      <c r="H1619" s="41" t="n"/>
    </row>
    <row r="1620" ht="25.8" customHeight="1">
      <c r="B1620" s="41" t="n"/>
      <c r="C1620" s="41" t="n"/>
      <c r="F1620" s="41" t="n"/>
      <c r="H1620" s="41" t="n"/>
    </row>
    <row r="1621" ht="25.8" customHeight="1">
      <c r="B1621" s="41" t="n"/>
      <c r="C1621" s="41" t="n"/>
      <c r="F1621" s="41" t="n"/>
      <c r="H1621" s="41" t="n"/>
    </row>
    <row r="1622" ht="25.8" customHeight="1">
      <c r="B1622" s="41" t="n"/>
      <c r="C1622" s="41" t="n"/>
      <c r="F1622" s="41" t="n"/>
      <c r="H1622" s="41" t="n"/>
    </row>
    <row r="1623" ht="25.8" customHeight="1">
      <c r="B1623" s="41" t="n"/>
      <c r="C1623" s="41" t="n"/>
      <c r="F1623" s="41" t="n"/>
      <c r="H1623" s="41" t="n"/>
    </row>
    <row r="1624" ht="25.8" customHeight="1">
      <c r="B1624" s="41" t="n"/>
      <c r="C1624" s="41" t="n"/>
      <c r="F1624" s="41" t="n"/>
      <c r="H1624" s="41" t="n"/>
    </row>
    <row r="1625" ht="25.8" customHeight="1">
      <c r="B1625" s="41" t="n"/>
      <c r="C1625" s="41" t="n"/>
      <c r="F1625" s="41" t="n"/>
      <c r="H1625" s="41" t="n"/>
    </row>
    <row r="1626" ht="25.8" customHeight="1">
      <c r="B1626" s="41" t="n"/>
      <c r="C1626" s="41" t="n"/>
      <c r="F1626" s="41" t="n"/>
      <c r="H1626" s="41" t="n"/>
    </row>
    <row r="1627" ht="25.8" customHeight="1">
      <c r="B1627" s="41" t="n"/>
      <c r="C1627" s="41" t="n"/>
      <c r="F1627" s="41" t="n"/>
      <c r="H1627" s="41" t="n"/>
    </row>
    <row r="1628" ht="25.8" customHeight="1">
      <c r="B1628" s="41" t="n"/>
      <c r="C1628" s="41" t="n"/>
      <c r="F1628" s="41" t="n"/>
      <c r="H1628" s="41" t="n"/>
    </row>
    <row r="1629" ht="25.8" customHeight="1">
      <c r="B1629" s="41" t="n"/>
      <c r="C1629" s="41" t="n"/>
      <c r="F1629" s="41" t="n"/>
      <c r="H1629" s="41" t="n"/>
    </row>
    <row r="1630" ht="25.8" customHeight="1">
      <c r="B1630" s="41" t="n"/>
      <c r="C1630" s="41" t="n"/>
      <c r="F1630" s="41" t="n"/>
      <c r="H1630" s="41" t="n"/>
    </row>
    <row r="1631" ht="25.8" customHeight="1">
      <c r="B1631" s="41" t="n"/>
      <c r="C1631" s="41" t="n"/>
      <c r="F1631" s="41" t="n"/>
      <c r="H1631" s="41" t="n"/>
    </row>
    <row r="1632" ht="25.8" customHeight="1">
      <c r="B1632" s="41" t="n"/>
      <c r="C1632" s="41" t="n"/>
      <c r="F1632" s="41" t="n"/>
      <c r="H1632" s="41" t="n"/>
    </row>
    <row r="1633" ht="25.8" customHeight="1">
      <c r="B1633" s="41" t="n"/>
      <c r="C1633" s="41" t="n"/>
      <c r="F1633" s="41" t="n"/>
      <c r="H1633" s="41" t="n"/>
    </row>
    <row r="1634" ht="25.8" customHeight="1">
      <c r="B1634" s="41" t="n"/>
      <c r="C1634" s="41" t="n"/>
      <c r="F1634" s="41" t="n"/>
      <c r="H1634" s="41" t="n"/>
    </row>
    <row r="1635" ht="25.8" customHeight="1">
      <c r="B1635" s="41" t="n"/>
      <c r="C1635" s="41" t="n"/>
      <c r="F1635" s="41" t="n"/>
      <c r="H1635" s="41" t="n"/>
    </row>
    <row r="1636" ht="25.8" customHeight="1">
      <c r="B1636" s="41" t="n"/>
      <c r="C1636" s="41" t="n"/>
      <c r="F1636" s="41" t="n"/>
      <c r="H1636" s="41" t="n"/>
    </row>
    <row r="1637" ht="25.8" customHeight="1">
      <c r="B1637" s="41" t="n"/>
      <c r="C1637" s="41" t="n"/>
      <c r="F1637" s="41" t="n"/>
      <c r="H1637" s="41" t="n"/>
    </row>
    <row r="1638" ht="25.8" customHeight="1">
      <c r="B1638" s="41" t="n"/>
      <c r="C1638" s="41" t="n"/>
      <c r="F1638" s="41" t="n"/>
      <c r="H1638" s="41" t="n"/>
    </row>
    <row r="1639" ht="25.8" customHeight="1">
      <c r="B1639" s="41" t="n"/>
      <c r="C1639" s="41" t="n"/>
      <c r="F1639" s="41" t="n"/>
      <c r="H1639" s="41" t="n"/>
    </row>
    <row r="1640" ht="25.8" customHeight="1">
      <c r="B1640" s="41" t="n"/>
      <c r="C1640" s="41" t="n"/>
      <c r="F1640" s="41" t="n"/>
      <c r="H1640" s="41" t="n"/>
    </row>
    <row r="1641" ht="25.8" customHeight="1">
      <c r="B1641" s="41" t="n"/>
      <c r="C1641" s="41" t="n"/>
      <c r="F1641" s="41" t="n"/>
      <c r="H1641" s="41" t="n"/>
    </row>
    <row r="1642" ht="25.8" customHeight="1">
      <c r="B1642" s="41" t="n"/>
      <c r="C1642" s="41" t="n"/>
      <c r="F1642" s="41" t="n"/>
      <c r="H1642" s="41" t="n"/>
    </row>
    <row r="1643" ht="25.8" customHeight="1">
      <c r="B1643" s="41" t="n"/>
      <c r="C1643" s="41" t="n"/>
      <c r="F1643" s="41" t="n"/>
      <c r="H1643" s="41" t="n"/>
    </row>
    <row r="1644" ht="25.8" customHeight="1">
      <c r="B1644" s="41" t="n"/>
      <c r="C1644" s="41" t="n"/>
      <c r="F1644" s="41" t="n"/>
      <c r="H1644" s="41" t="n"/>
    </row>
    <row r="1645" ht="25.8" customHeight="1">
      <c r="B1645" s="41" t="n"/>
      <c r="C1645" s="41" t="n"/>
      <c r="F1645" s="41" t="n"/>
      <c r="H1645" s="41" t="n"/>
    </row>
    <row r="1646" ht="25.8" customHeight="1">
      <c r="B1646" s="41" t="n"/>
      <c r="C1646" s="41" t="n"/>
      <c r="F1646" s="41" t="n"/>
      <c r="H1646" s="41" t="n"/>
    </row>
    <row r="1647" ht="25.8" customHeight="1">
      <c r="B1647" s="41" t="n"/>
      <c r="C1647" s="41" t="n"/>
      <c r="F1647" s="41" t="n"/>
      <c r="H1647" s="41" t="n"/>
    </row>
    <row r="1648" ht="25.8" customHeight="1">
      <c r="B1648" s="41" t="n"/>
      <c r="C1648" s="41" t="n"/>
      <c r="F1648" s="41" t="n"/>
      <c r="H1648" s="41" t="n"/>
    </row>
    <row r="1649" ht="25.8" customHeight="1">
      <c r="B1649" s="41" t="n"/>
      <c r="C1649" s="41" t="n"/>
      <c r="F1649" s="41" t="n"/>
      <c r="H1649" s="41" t="n"/>
    </row>
    <row r="1650" ht="25.8" customHeight="1">
      <c r="B1650" s="41" t="n"/>
      <c r="C1650" s="41" t="n"/>
      <c r="F1650" s="41" t="n"/>
      <c r="H1650" s="41" t="n"/>
    </row>
    <row r="1651" ht="25.8" customHeight="1">
      <c r="B1651" s="41" t="n"/>
      <c r="C1651" s="41" t="n"/>
      <c r="F1651" s="41" t="n"/>
      <c r="H1651" s="41" t="n"/>
    </row>
    <row r="1652" ht="25.8" customHeight="1">
      <c r="B1652" s="41" t="n"/>
      <c r="C1652" s="41" t="n"/>
      <c r="F1652" s="41" t="n"/>
      <c r="H1652" s="41" t="n"/>
    </row>
    <row r="1653" ht="25.8" customHeight="1">
      <c r="B1653" s="41" t="n"/>
      <c r="C1653" s="41" t="n"/>
      <c r="F1653" s="41" t="n"/>
      <c r="H1653" s="41" t="n"/>
    </row>
    <row r="1654" ht="25.8" customHeight="1">
      <c r="B1654" s="41" t="n"/>
      <c r="C1654" s="41" t="n"/>
      <c r="F1654" s="41" t="n"/>
      <c r="H1654" s="41" t="n"/>
    </row>
    <row r="1655" ht="25.8" customHeight="1">
      <c r="B1655" s="41" t="n"/>
      <c r="C1655" s="41" t="n"/>
      <c r="F1655" s="41" t="n"/>
      <c r="H1655" s="41" t="n"/>
    </row>
    <row r="1656" ht="25.8" customHeight="1">
      <c r="B1656" s="41" t="n"/>
      <c r="C1656" s="41" t="n"/>
      <c r="F1656" s="41" t="n"/>
      <c r="H1656" s="41" t="n"/>
    </row>
    <row r="1657" ht="25.8" customHeight="1">
      <c r="B1657" s="41" t="n"/>
      <c r="C1657" s="41" t="n"/>
      <c r="F1657" s="41" t="n"/>
      <c r="H1657" s="41" t="n"/>
    </row>
    <row r="1658" ht="25.8" customHeight="1">
      <c r="B1658" s="41" t="n"/>
      <c r="C1658" s="41" t="n"/>
      <c r="F1658" s="41" t="n"/>
      <c r="H1658" s="41" t="n"/>
    </row>
    <row r="1659" ht="25.8" customHeight="1">
      <c r="B1659" s="41" t="n"/>
      <c r="C1659" s="41" t="n"/>
      <c r="F1659" s="41" t="n"/>
      <c r="H1659" s="41" t="n"/>
    </row>
    <row r="1660" ht="25.8" customHeight="1">
      <c r="B1660" s="41" t="n"/>
      <c r="C1660" s="41" t="n"/>
      <c r="F1660" s="41" t="n"/>
      <c r="H1660" s="41" t="n"/>
    </row>
    <row r="1661" ht="25.8" customHeight="1">
      <c r="B1661" s="41" t="n"/>
      <c r="C1661" s="41" t="n"/>
      <c r="F1661" s="41" t="n"/>
      <c r="H1661" s="41" t="n"/>
    </row>
    <row r="1662" ht="25.8" customHeight="1">
      <c r="B1662" s="41" t="n"/>
      <c r="C1662" s="41" t="n"/>
      <c r="F1662" s="41" t="n"/>
      <c r="H1662" s="41" t="n"/>
    </row>
    <row r="1663" ht="25.8" customHeight="1">
      <c r="B1663" s="41" t="n"/>
      <c r="C1663" s="41" t="n"/>
      <c r="F1663" s="41" t="n"/>
      <c r="H1663" s="41" t="n"/>
    </row>
    <row r="1664" ht="25.8" customHeight="1">
      <c r="B1664" s="41" t="n"/>
      <c r="C1664" s="41" t="n"/>
      <c r="F1664" s="41" t="n"/>
      <c r="H1664" s="41" t="n"/>
    </row>
    <row r="1665" ht="25.8" customHeight="1">
      <c r="B1665" s="41" t="n"/>
      <c r="C1665" s="41" t="n"/>
      <c r="F1665" s="41" t="n"/>
      <c r="H1665" s="41" t="n"/>
    </row>
    <row r="1666" ht="25.8" customHeight="1">
      <c r="B1666" s="41" t="n"/>
      <c r="C1666" s="41" t="n"/>
      <c r="F1666" s="41" t="n"/>
      <c r="H1666" s="41" t="n"/>
    </row>
    <row r="1667" ht="25.8" customHeight="1">
      <c r="B1667" s="41" t="n"/>
      <c r="C1667" s="41" t="n"/>
      <c r="F1667" s="41" t="n"/>
      <c r="H1667" s="41" t="n"/>
    </row>
    <row r="1668" ht="25.8" customHeight="1">
      <c r="B1668" s="41" t="n"/>
      <c r="C1668" s="41" t="n"/>
      <c r="F1668" s="41" t="n"/>
      <c r="H1668" s="41" t="n"/>
    </row>
    <row r="1669" ht="25.8" customHeight="1">
      <c r="B1669" s="41" t="n"/>
      <c r="C1669" s="41" t="n"/>
      <c r="F1669" s="41" t="n"/>
      <c r="H1669" s="41" t="n"/>
    </row>
    <row r="1670" ht="25.8" customHeight="1">
      <c r="B1670" s="41" t="n"/>
      <c r="C1670" s="41" t="n"/>
      <c r="F1670" s="41" t="n"/>
      <c r="H1670" s="41" t="n"/>
    </row>
    <row r="1671" ht="25.8" customHeight="1">
      <c r="B1671" s="41" t="n"/>
      <c r="C1671" s="41" t="n"/>
      <c r="F1671" s="41" t="n"/>
      <c r="H1671" s="41" t="n"/>
    </row>
    <row r="1672" ht="25.8" customHeight="1">
      <c r="B1672" s="41" t="n"/>
      <c r="C1672" s="41" t="n"/>
      <c r="F1672" s="41" t="n"/>
      <c r="H1672" s="41" t="n"/>
    </row>
    <row r="1673" ht="25.8" customHeight="1">
      <c r="B1673" s="41" t="n"/>
      <c r="C1673" s="41" t="n"/>
      <c r="F1673" s="41" t="n"/>
      <c r="H1673" s="41" t="n"/>
    </row>
    <row r="1674" ht="25.8" customHeight="1">
      <c r="B1674" s="41" t="n"/>
      <c r="C1674" s="41" t="n"/>
      <c r="F1674" s="41" t="n"/>
      <c r="H1674" s="41" t="n"/>
    </row>
    <row r="1675" ht="25.8" customHeight="1">
      <c r="B1675" s="41" t="n"/>
      <c r="C1675" s="41" t="n"/>
      <c r="F1675" s="41" t="n"/>
      <c r="H1675" s="41" t="n"/>
    </row>
    <row r="1676" ht="25.8" customHeight="1">
      <c r="B1676" s="41" t="n"/>
      <c r="C1676" s="41" t="n"/>
      <c r="F1676" s="41" t="n"/>
      <c r="H1676" s="41" t="n"/>
    </row>
    <row r="1677" ht="25.8" customHeight="1">
      <c r="B1677" s="41" t="n"/>
      <c r="C1677" s="41" t="n"/>
      <c r="F1677" s="41" t="n"/>
      <c r="H1677" s="41" t="n"/>
    </row>
    <row r="1678" ht="25.8" customHeight="1">
      <c r="B1678" s="41" t="n"/>
      <c r="C1678" s="41" t="n"/>
      <c r="F1678" s="41" t="n"/>
      <c r="H1678" s="41" t="n"/>
    </row>
    <row r="1679" ht="25.8" customHeight="1">
      <c r="B1679" s="41" t="n"/>
      <c r="C1679" s="41" t="n"/>
      <c r="F1679" s="41" t="n"/>
      <c r="H1679" s="41" t="n"/>
    </row>
    <row r="1680" ht="25.8" customHeight="1">
      <c r="B1680" s="41" t="n"/>
      <c r="C1680" s="41" t="n"/>
      <c r="F1680" s="41" t="n"/>
      <c r="H1680" s="41" t="n"/>
    </row>
    <row r="1681" ht="25.8" customHeight="1">
      <c r="B1681" s="41" t="n"/>
      <c r="C1681" s="41" t="n"/>
      <c r="F1681" s="41" t="n"/>
      <c r="H1681" s="41" t="n"/>
    </row>
    <row r="1682" ht="25.8" customHeight="1">
      <c r="B1682" s="41" t="n"/>
      <c r="C1682" s="41" t="n"/>
      <c r="F1682" s="41" t="n"/>
      <c r="H1682" s="41" t="n"/>
    </row>
    <row r="1683" ht="25.8" customHeight="1">
      <c r="B1683" s="41" t="n"/>
      <c r="C1683" s="41" t="n"/>
      <c r="F1683" s="41" t="n"/>
      <c r="H1683" s="41" t="n"/>
    </row>
    <row r="1684" ht="25.8" customHeight="1">
      <c r="B1684" s="41" t="n"/>
      <c r="C1684" s="41" t="n"/>
      <c r="F1684" s="41" t="n"/>
      <c r="H1684" s="41" t="n"/>
    </row>
    <row r="1685" ht="25.8" customHeight="1">
      <c r="B1685" s="41" t="n"/>
      <c r="C1685" s="41" t="n"/>
      <c r="F1685" s="41" t="n"/>
      <c r="H1685" s="41" t="n"/>
    </row>
    <row r="1686" ht="25.8" customHeight="1">
      <c r="B1686" s="41" t="n"/>
      <c r="C1686" s="41" t="n"/>
      <c r="F1686" s="41" t="n"/>
      <c r="H1686" s="41" t="n"/>
    </row>
    <row r="1687" ht="25.8" customHeight="1">
      <c r="B1687" s="41" t="n"/>
      <c r="C1687" s="41" t="n"/>
      <c r="F1687" s="41" t="n"/>
      <c r="H1687" s="41" t="n"/>
    </row>
    <row r="1688" ht="25.8" customHeight="1">
      <c r="B1688" s="41" t="n"/>
      <c r="C1688" s="41" t="n"/>
      <c r="F1688" s="41" t="n"/>
      <c r="H1688" s="41" t="n"/>
    </row>
    <row r="1689" ht="25.8" customHeight="1">
      <c r="B1689" s="41" t="n"/>
      <c r="C1689" s="41" t="n"/>
      <c r="F1689" s="41" t="n"/>
      <c r="H1689" s="41" t="n"/>
    </row>
    <row r="1690" ht="25.8" customHeight="1">
      <c r="B1690" s="41" t="n"/>
      <c r="C1690" s="41" t="n"/>
      <c r="F1690" s="41" t="n"/>
      <c r="H1690" s="41" t="n"/>
    </row>
    <row r="1691" ht="25.8" customHeight="1">
      <c r="B1691" s="41" t="n"/>
      <c r="C1691" s="41" t="n"/>
      <c r="F1691" s="41" t="n"/>
      <c r="H1691" s="41" t="n"/>
    </row>
    <row r="1692" ht="25.8" customHeight="1">
      <c r="B1692" s="41" t="n"/>
      <c r="C1692" s="41" t="n"/>
      <c r="F1692" s="41" t="n"/>
      <c r="H1692" s="41" t="n"/>
    </row>
    <row r="1693" ht="25.8" customHeight="1">
      <c r="B1693" s="41" t="n"/>
      <c r="C1693" s="41" t="n"/>
      <c r="F1693" s="41" t="n"/>
      <c r="H1693" s="41" t="n"/>
    </row>
    <row r="1694" ht="25.8" customHeight="1">
      <c r="B1694" s="41" t="n"/>
      <c r="C1694" s="41" t="n"/>
      <c r="F1694" s="41" t="n"/>
      <c r="H1694" s="41" t="n"/>
    </row>
    <row r="1695" ht="25.8" customHeight="1">
      <c r="B1695" s="41" t="n"/>
      <c r="C1695" s="41" t="n"/>
      <c r="F1695" s="41" t="n"/>
      <c r="H1695" s="41" t="n"/>
    </row>
    <row r="1696" ht="25.8" customHeight="1">
      <c r="B1696" s="41" t="n"/>
      <c r="C1696" s="41" t="n"/>
      <c r="F1696" s="41" t="n"/>
      <c r="H1696" s="41" t="n"/>
    </row>
    <row r="1697" ht="25.8" customHeight="1">
      <c r="B1697" s="41" t="n"/>
      <c r="C1697" s="41" t="n"/>
      <c r="F1697" s="41" t="n"/>
      <c r="H1697" s="41" t="n"/>
    </row>
    <row r="1698" ht="25.8" customHeight="1">
      <c r="B1698" s="41" t="n"/>
      <c r="C1698" s="41" t="n"/>
      <c r="F1698" s="41" t="n"/>
      <c r="H1698" s="41" t="n"/>
    </row>
    <row r="1699" ht="25.8" customHeight="1">
      <c r="B1699" s="41" t="n"/>
      <c r="C1699" s="41" t="n"/>
      <c r="F1699" s="41" t="n"/>
      <c r="H1699" s="41" t="n"/>
    </row>
    <row r="1700" ht="25.8" customHeight="1">
      <c r="B1700" s="41" t="n"/>
      <c r="C1700" s="41" t="n"/>
      <c r="F1700" s="41" t="n"/>
      <c r="H1700" s="41" t="n"/>
    </row>
    <row r="1701" ht="25.8" customHeight="1">
      <c r="B1701" s="41" t="n"/>
      <c r="C1701" s="41" t="n"/>
      <c r="F1701" s="41" t="n"/>
      <c r="H1701" s="41" t="n"/>
    </row>
    <row r="1702" ht="25.8" customHeight="1">
      <c r="B1702" s="41" t="n"/>
      <c r="C1702" s="41" t="n"/>
      <c r="F1702" s="41" t="n"/>
      <c r="H1702" s="41" t="n"/>
    </row>
    <row r="1703" ht="25.8" customHeight="1">
      <c r="B1703" s="41" t="n"/>
      <c r="C1703" s="41" t="n"/>
      <c r="F1703" s="41" t="n"/>
      <c r="H1703" s="41" t="n"/>
    </row>
    <row r="1704" ht="25.8" customHeight="1">
      <c r="B1704" s="41" t="n"/>
      <c r="C1704" s="41" t="n"/>
      <c r="F1704" s="41" t="n"/>
      <c r="H1704" s="41" t="n"/>
    </row>
    <row r="1705" ht="25.8" customHeight="1">
      <c r="B1705" s="41" t="n"/>
      <c r="C1705" s="41" t="n"/>
      <c r="F1705" s="41" t="n"/>
      <c r="H1705" s="41" t="n"/>
    </row>
    <row r="1706" ht="25.8" customHeight="1">
      <c r="B1706" s="41" t="n"/>
      <c r="C1706" s="41" t="n"/>
      <c r="F1706" s="41" t="n"/>
      <c r="H1706" s="41" t="n"/>
    </row>
    <row r="1707" ht="25.8" customHeight="1">
      <c r="B1707" s="41" t="n"/>
      <c r="C1707" s="41" t="n"/>
      <c r="F1707" s="41" t="n"/>
      <c r="H1707" s="41" t="n"/>
    </row>
    <row r="1708" ht="25.8" customHeight="1">
      <c r="B1708" s="41" t="n"/>
      <c r="C1708" s="41" t="n"/>
      <c r="F1708" s="41" t="n"/>
      <c r="H1708" s="41" t="n"/>
    </row>
    <row r="1709" ht="25.8" customHeight="1">
      <c r="B1709" s="41" t="n"/>
      <c r="C1709" s="41" t="n"/>
      <c r="F1709" s="41" t="n"/>
      <c r="H1709" s="41" t="n"/>
    </row>
    <row r="1710" ht="25.8" customHeight="1">
      <c r="B1710" s="41" t="n"/>
      <c r="C1710" s="41" t="n"/>
      <c r="F1710" s="41" t="n"/>
      <c r="H1710" s="41" t="n"/>
    </row>
    <row r="1711" ht="25.8" customHeight="1">
      <c r="B1711" s="41" t="n"/>
      <c r="C1711" s="41" t="n"/>
      <c r="F1711" s="41" t="n"/>
      <c r="H1711" s="41" t="n"/>
    </row>
    <row r="1712" ht="25.8" customHeight="1">
      <c r="B1712" s="41" t="n"/>
      <c r="C1712" s="41" t="n"/>
      <c r="F1712" s="41" t="n"/>
      <c r="H1712" s="41" t="n"/>
    </row>
    <row r="1713" ht="25.8" customHeight="1">
      <c r="B1713" s="41" t="n"/>
      <c r="C1713" s="41" t="n"/>
      <c r="F1713" s="41" t="n"/>
      <c r="H1713" s="41" t="n"/>
    </row>
    <row r="1714" ht="25.8" customHeight="1">
      <c r="B1714" s="41" t="n"/>
      <c r="C1714" s="41" t="n"/>
      <c r="F1714" s="41" t="n"/>
      <c r="H1714" s="41" t="n"/>
    </row>
    <row r="1715" ht="25.8" customHeight="1">
      <c r="B1715" s="41" t="n"/>
      <c r="C1715" s="41" t="n"/>
      <c r="F1715" s="41" t="n"/>
      <c r="H1715" s="41" t="n"/>
    </row>
    <row r="1716" ht="25.8" customHeight="1">
      <c r="B1716" s="41" t="n"/>
      <c r="C1716" s="41" t="n"/>
      <c r="F1716" s="41" t="n"/>
      <c r="H1716" s="41" t="n"/>
    </row>
    <row r="1717" ht="25.8" customHeight="1">
      <c r="B1717" s="41" t="n"/>
      <c r="C1717" s="41" t="n"/>
      <c r="F1717" s="41" t="n"/>
      <c r="H1717" s="41" t="n"/>
    </row>
    <row r="1718" ht="25.8" customHeight="1">
      <c r="B1718" s="41" t="n"/>
      <c r="C1718" s="41" t="n"/>
      <c r="F1718" s="41" t="n"/>
      <c r="H1718" s="41" t="n"/>
    </row>
    <row r="1719" ht="25.8" customHeight="1">
      <c r="B1719" s="41" t="n"/>
      <c r="C1719" s="41" t="n"/>
      <c r="F1719" s="41" t="n"/>
      <c r="H1719" s="41" t="n"/>
    </row>
    <row r="1720" ht="25.8" customHeight="1">
      <c r="B1720" s="41" t="n"/>
      <c r="C1720" s="41" t="n"/>
      <c r="F1720" s="41" t="n"/>
      <c r="H1720" s="41" t="n"/>
    </row>
    <row r="1721" ht="25.8" customHeight="1">
      <c r="B1721" s="41" t="n"/>
      <c r="C1721" s="41" t="n"/>
      <c r="F1721" s="41" t="n"/>
      <c r="H1721" s="41" t="n"/>
    </row>
    <row r="1722" ht="25.8" customHeight="1">
      <c r="B1722" s="41" t="n"/>
      <c r="C1722" s="41" t="n"/>
      <c r="F1722" s="41" t="n"/>
      <c r="H1722" s="41" t="n"/>
    </row>
    <row r="1723" ht="25.8" customHeight="1">
      <c r="B1723" s="41" t="n"/>
      <c r="C1723" s="41" t="n"/>
      <c r="F1723" s="41" t="n"/>
      <c r="H1723" s="41" t="n"/>
    </row>
    <row r="1724" ht="25.8" customHeight="1">
      <c r="B1724" s="41" t="n"/>
      <c r="C1724" s="41" t="n"/>
      <c r="F1724" s="41" t="n"/>
      <c r="H1724" s="41" t="n"/>
    </row>
    <row r="1725" ht="25.8" customHeight="1">
      <c r="B1725" s="41" t="n"/>
      <c r="C1725" s="41" t="n"/>
      <c r="F1725" s="41" t="n"/>
      <c r="H1725" s="41" t="n"/>
    </row>
    <row r="1726" ht="25.8" customHeight="1">
      <c r="B1726" s="41" t="n"/>
      <c r="C1726" s="41" t="n"/>
      <c r="F1726" s="41" t="n"/>
      <c r="H1726" s="41" t="n"/>
    </row>
    <row r="1727" ht="25.8" customHeight="1">
      <c r="B1727" s="41" t="n"/>
      <c r="C1727" s="41" t="n"/>
      <c r="F1727" s="41" t="n"/>
      <c r="H1727" s="41" t="n"/>
    </row>
    <row r="1728" ht="25.8" customHeight="1">
      <c r="B1728" s="41" t="n"/>
      <c r="C1728" s="41" t="n"/>
      <c r="F1728" s="41" t="n"/>
      <c r="H1728" s="41" t="n"/>
    </row>
    <row r="1729" ht="25.8" customHeight="1">
      <c r="B1729" s="41" t="n"/>
      <c r="C1729" s="41" t="n"/>
      <c r="F1729" s="41" t="n"/>
      <c r="H1729" s="41" t="n"/>
    </row>
    <row r="1730" ht="25.8" customHeight="1">
      <c r="B1730" s="41" t="n"/>
      <c r="C1730" s="41" t="n"/>
      <c r="F1730" s="41" t="n"/>
      <c r="H1730" s="41" t="n"/>
    </row>
    <row r="1731" ht="25.8" customHeight="1">
      <c r="B1731" s="41" t="n"/>
      <c r="C1731" s="41" t="n"/>
      <c r="F1731" s="41" t="n"/>
      <c r="H1731" s="41" t="n"/>
    </row>
    <row r="1732" ht="25.8" customHeight="1">
      <c r="B1732" s="41" t="n"/>
      <c r="C1732" s="41" t="n"/>
      <c r="F1732" s="41" t="n"/>
      <c r="H1732" s="41" t="n"/>
    </row>
    <row r="1733" ht="25.8" customHeight="1">
      <c r="B1733" s="41" t="n"/>
      <c r="C1733" s="41" t="n"/>
      <c r="F1733" s="41" t="n"/>
      <c r="H1733" s="41" t="n"/>
    </row>
    <row r="1734" ht="25.8" customHeight="1">
      <c r="B1734" s="41" t="n"/>
      <c r="C1734" s="41" t="n"/>
      <c r="F1734" s="41" t="n"/>
      <c r="H1734" s="41" t="n"/>
    </row>
    <row r="1735" ht="25.8" customHeight="1">
      <c r="B1735" s="41" t="n"/>
      <c r="C1735" s="41" t="n"/>
      <c r="F1735" s="41" t="n"/>
      <c r="H1735" s="41" t="n"/>
    </row>
    <row r="1736" ht="25.8" customHeight="1">
      <c r="B1736" s="41" t="n"/>
      <c r="C1736" s="41" t="n"/>
      <c r="F1736" s="41" t="n"/>
      <c r="H1736" s="41" t="n"/>
    </row>
    <row r="1737" ht="25.8" customHeight="1">
      <c r="B1737" s="41" t="n"/>
      <c r="C1737" s="41" t="n"/>
      <c r="F1737" s="41" t="n"/>
      <c r="H1737" s="41" t="n"/>
    </row>
    <row r="1738" ht="25.8" customHeight="1">
      <c r="B1738" s="41" t="n"/>
      <c r="C1738" s="41" t="n"/>
      <c r="F1738" s="41" t="n"/>
      <c r="H1738" s="41" t="n"/>
    </row>
    <row r="1739" ht="25.8" customHeight="1">
      <c r="B1739" s="41" t="n"/>
      <c r="C1739" s="41" t="n"/>
      <c r="F1739" s="41" t="n"/>
      <c r="H1739" s="41" t="n"/>
    </row>
    <row r="1740" ht="25.8" customHeight="1">
      <c r="B1740" s="41" t="n"/>
      <c r="C1740" s="41" t="n"/>
      <c r="F1740" s="41" t="n"/>
      <c r="H1740" s="41" t="n"/>
    </row>
    <row r="1741" ht="25.8" customHeight="1">
      <c r="B1741" s="41" t="n"/>
      <c r="C1741" s="41" t="n"/>
      <c r="F1741" s="41" t="n"/>
      <c r="H1741" s="41" t="n"/>
    </row>
    <row r="1742" ht="25.8" customHeight="1">
      <c r="B1742" s="41" t="n"/>
      <c r="C1742" s="41" t="n"/>
      <c r="F1742" s="41" t="n"/>
      <c r="H1742" s="41" t="n"/>
    </row>
    <row r="1743" ht="25.8" customHeight="1">
      <c r="B1743" s="41" t="n"/>
      <c r="C1743" s="41" t="n"/>
      <c r="F1743" s="41" t="n"/>
      <c r="H1743" s="41" t="n"/>
    </row>
    <row r="1744" ht="25.8" customHeight="1">
      <c r="B1744" s="41" t="n"/>
      <c r="C1744" s="41" t="n"/>
      <c r="F1744" s="41" t="n"/>
      <c r="H1744" s="41" t="n"/>
    </row>
    <row r="1745" ht="25.8" customHeight="1">
      <c r="B1745" s="41" t="n"/>
      <c r="C1745" s="41" t="n"/>
      <c r="F1745" s="41" t="n"/>
      <c r="H1745" s="41" t="n"/>
    </row>
    <row r="1746" ht="25.8" customHeight="1">
      <c r="B1746" s="41" t="n"/>
      <c r="C1746" s="41" t="n"/>
      <c r="F1746" s="41" t="n"/>
      <c r="H1746" s="41" t="n"/>
    </row>
    <row r="1747" ht="25.8" customHeight="1">
      <c r="B1747" s="41" t="n"/>
      <c r="C1747" s="41" t="n"/>
      <c r="F1747" s="41" t="n"/>
      <c r="H1747" s="41" t="n"/>
    </row>
    <row r="1748" ht="25.8" customHeight="1">
      <c r="B1748" s="41" t="n"/>
      <c r="C1748" s="41" t="n"/>
      <c r="F1748" s="41" t="n"/>
      <c r="H1748" s="41" t="n"/>
    </row>
    <row r="1749" ht="25.8" customHeight="1">
      <c r="B1749" s="41" t="n"/>
      <c r="C1749" s="41" t="n"/>
      <c r="F1749" s="41" t="n"/>
      <c r="H1749" s="41" t="n"/>
    </row>
    <row r="1750" ht="25.8" customHeight="1">
      <c r="B1750" s="41" t="n"/>
      <c r="C1750" s="41" t="n"/>
      <c r="F1750" s="41" t="n"/>
      <c r="H1750" s="41" t="n"/>
    </row>
    <row r="1751" ht="25.8" customHeight="1">
      <c r="B1751" s="41" t="n"/>
      <c r="C1751" s="41" t="n"/>
      <c r="F1751" s="41" t="n"/>
      <c r="H1751" s="41" t="n"/>
    </row>
    <row r="1752" ht="25.8" customHeight="1">
      <c r="B1752" s="41" t="n"/>
      <c r="C1752" s="41" t="n"/>
      <c r="F1752" s="41" t="n"/>
      <c r="H1752" s="41" t="n"/>
    </row>
    <row r="1753" ht="25.8" customHeight="1">
      <c r="B1753" s="41" t="n"/>
      <c r="C1753" s="41" t="n"/>
      <c r="F1753" s="41" t="n"/>
      <c r="H1753" s="41" t="n"/>
    </row>
    <row r="1754" ht="25.8" customHeight="1">
      <c r="B1754" s="41" t="n"/>
      <c r="C1754" s="41" t="n"/>
      <c r="F1754" s="41" t="n"/>
      <c r="H1754" s="41" t="n"/>
    </row>
    <row r="1755" ht="25.8" customHeight="1">
      <c r="B1755" s="41" t="n"/>
      <c r="C1755" s="41" t="n"/>
      <c r="F1755" s="41" t="n"/>
      <c r="H1755" s="41" t="n"/>
    </row>
    <row r="1756" ht="25.8" customHeight="1">
      <c r="B1756" s="41" t="n"/>
      <c r="C1756" s="41" t="n"/>
      <c r="F1756" s="41" t="n"/>
      <c r="H1756" s="41" t="n"/>
    </row>
    <row r="1757" ht="25.8" customHeight="1">
      <c r="B1757" s="41" t="n"/>
      <c r="C1757" s="41" t="n"/>
      <c r="F1757" s="41" t="n"/>
      <c r="H1757" s="41" t="n"/>
    </row>
    <row r="1758" ht="25.8" customHeight="1">
      <c r="B1758" s="41" t="n"/>
      <c r="C1758" s="41" t="n"/>
      <c r="F1758" s="41" t="n"/>
      <c r="H1758" s="41" t="n"/>
    </row>
    <row r="1759" ht="25.8" customHeight="1">
      <c r="B1759" s="41" t="n"/>
      <c r="C1759" s="41" t="n"/>
      <c r="F1759" s="41" t="n"/>
      <c r="H1759" s="41" t="n"/>
    </row>
    <row r="1760" ht="25.8" customHeight="1">
      <c r="B1760" s="41" t="n"/>
      <c r="C1760" s="41" t="n"/>
      <c r="F1760" s="41" t="n"/>
      <c r="H1760" s="41" t="n"/>
    </row>
    <row r="1761" ht="25.8" customHeight="1">
      <c r="B1761" s="41" t="n"/>
      <c r="C1761" s="41" t="n"/>
      <c r="F1761" s="41" t="n"/>
      <c r="H1761" s="41" t="n"/>
    </row>
    <row r="1762" ht="25.8" customHeight="1">
      <c r="B1762" s="41" t="n"/>
      <c r="C1762" s="41" t="n"/>
      <c r="F1762" s="41" t="n"/>
      <c r="H1762" s="41" t="n"/>
    </row>
    <row r="1763" ht="25.8" customHeight="1">
      <c r="B1763" s="41" t="n"/>
      <c r="C1763" s="41" t="n"/>
      <c r="F1763" s="41" t="n"/>
      <c r="H1763" s="41" t="n"/>
    </row>
    <row r="1764" ht="25.8" customHeight="1">
      <c r="B1764" s="41" t="n"/>
      <c r="C1764" s="41" t="n"/>
      <c r="F1764" s="41" t="n"/>
      <c r="H1764" s="41" t="n"/>
    </row>
    <row r="1765" ht="25.8" customHeight="1">
      <c r="B1765" s="41" t="n"/>
      <c r="C1765" s="41" t="n"/>
      <c r="F1765" s="41" t="n"/>
      <c r="H1765" s="41" t="n"/>
    </row>
    <row r="1766" ht="25.8" customHeight="1">
      <c r="B1766" s="41" t="n"/>
      <c r="C1766" s="41" t="n"/>
      <c r="F1766" s="41" t="n"/>
      <c r="H1766" s="41" t="n"/>
    </row>
    <row r="1767" ht="25.8" customHeight="1">
      <c r="B1767" s="41" t="n"/>
      <c r="C1767" s="41" t="n"/>
      <c r="F1767" s="41" t="n"/>
      <c r="H1767" s="41" t="n"/>
    </row>
    <row r="1768" ht="25.8" customHeight="1">
      <c r="B1768" s="41" t="n"/>
      <c r="C1768" s="41" t="n"/>
      <c r="F1768" s="41" t="n"/>
      <c r="H1768" s="41" t="n"/>
    </row>
    <row r="1769" ht="25.8" customHeight="1">
      <c r="B1769" s="41" t="n"/>
      <c r="C1769" s="41" t="n"/>
      <c r="F1769" s="41" t="n"/>
      <c r="H1769" s="41" t="n"/>
    </row>
    <row r="1770" ht="25.8" customHeight="1">
      <c r="B1770" s="41" t="n"/>
      <c r="C1770" s="41" t="n"/>
      <c r="F1770" s="41" t="n"/>
      <c r="H1770" s="41" t="n"/>
    </row>
    <row r="1771" ht="25.8" customHeight="1">
      <c r="B1771" s="41" t="n"/>
      <c r="C1771" s="41" t="n"/>
      <c r="F1771" s="41" t="n"/>
      <c r="H1771" s="41" t="n"/>
    </row>
    <row r="1772" ht="25.8" customHeight="1">
      <c r="B1772" s="41" t="n"/>
      <c r="C1772" s="41" t="n"/>
      <c r="F1772" s="41" t="n"/>
      <c r="H1772" s="41" t="n"/>
    </row>
    <row r="1773" ht="25.8" customHeight="1">
      <c r="B1773" s="41" t="n"/>
      <c r="C1773" s="41" t="n"/>
      <c r="F1773" s="41" t="n"/>
      <c r="H1773" s="41" t="n"/>
    </row>
    <row r="1774" ht="25.8" customHeight="1">
      <c r="B1774" s="41" t="n"/>
      <c r="C1774" s="41" t="n"/>
      <c r="F1774" s="41" t="n"/>
      <c r="H1774" s="41" t="n"/>
    </row>
    <row r="1775" ht="25.8" customHeight="1">
      <c r="B1775" s="41" t="n"/>
      <c r="C1775" s="41" t="n"/>
      <c r="F1775" s="41" t="n"/>
      <c r="H1775" s="41" t="n"/>
    </row>
    <row r="1776" ht="25.8" customHeight="1">
      <c r="B1776" s="41" t="n"/>
      <c r="C1776" s="41" t="n"/>
      <c r="F1776" s="41" t="n"/>
      <c r="H1776" s="41" t="n"/>
    </row>
    <row r="1777" ht="25.8" customHeight="1">
      <c r="B1777" s="41" t="n"/>
      <c r="C1777" s="41" t="n"/>
      <c r="F1777" s="41" t="n"/>
      <c r="H1777" s="41" t="n"/>
    </row>
    <row r="1778" ht="25.8" customHeight="1">
      <c r="B1778" s="41" t="n"/>
      <c r="C1778" s="41" t="n"/>
      <c r="F1778" s="41" t="n"/>
      <c r="H1778" s="41" t="n"/>
    </row>
    <row r="1779" ht="25.8" customHeight="1">
      <c r="B1779" s="41" t="n"/>
      <c r="C1779" s="41" t="n"/>
      <c r="F1779" s="41" t="n"/>
      <c r="H1779" s="41" t="n"/>
    </row>
    <row r="1780" ht="25.8" customHeight="1">
      <c r="B1780" s="41" t="n"/>
      <c r="C1780" s="41" t="n"/>
      <c r="F1780" s="41" t="n"/>
      <c r="H1780" s="41" t="n"/>
    </row>
    <row r="1781" ht="25.8" customHeight="1">
      <c r="B1781" s="41" t="n"/>
      <c r="C1781" s="41" t="n"/>
      <c r="F1781" s="41" t="n"/>
      <c r="H1781" s="41" t="n"/>
    </row>
    <row r="1782" ht="25.8" customHeight="1">
      <c r="B1782" s="41" t="n"/>
      <c r="C1782" s="41" t="n"/>
      <c r="F1782" s="41" t="n"/>
      <c r="H1782" s="41" t="n"/>
    </row>
    <row r="1783" ht="25.8" customHeight="1">
      <c r="B1783" s="41" t="n"/>
      <c r="C1783" s="41" t="n"/>
      <c r="F1783" s="41" t="n"/>
      <c r="H1783" s="41" t="n"/>
    </row>
    <row r="1784" ht="25.8" customHeight="1">
      <c r="B1784" s="41" t="n"/>
      <c r="C1784" s="41" t="n"/>
      <c r="F1784" s="41" t="n"/>
      <c r="H1784" s="41" t="n"/>
    </row>
    <row r="1785" ht="25.8" customHeight="1">
      <c r="B1785" s="41" t="n"/>
      <c r="C1785" s="41" t="n"/>
      <c r="F1785" s="41" t="n"/>
      <c r="H1785" s="41" t="n"/>
    </row>
    <row r="1786" ht="25.8" customHeight="1">
      <c r="B1786" s="41" t="n"/>
      <c r="C1786" s="41" t="n"/>
      <c r="F1786" s="41" t="n"/>
      <c r="H1786" s="41" t="n"/>
    </row>
    <row r="1787" ht="25.8" customHeight="1">
      <c r="B1787" s="41" t="n"/>
      <c r="C1787" s="41" t="n"/>
      <c r="F1787" s="41" t="n"/>
      <c r="H1787" s="41" t="n"/>
    </row>
    <row r="1788" ht="25.8" customHeight="1">
      <c r="B1788" s="41" t="n"/>
      <c r="C1788" s="41" t="n"/>
      <c r="F1788" s="41" t="n"/>
      <c r="H1788" s="41" t="n"/>
    </row>
    <row r="1789" ht="25.8" customHeight="1">
      <c r="B1789" s="41" t="n"/>
      <c r="C1789" s="41" t="n"/>
      <c r="F1789" s="41" t="n"/>
      <c r="H1789" s="41" t="n"/>
    </row>
    <row r="1790" ht="25.8" customHeight="1">
      <c r="B1790" s="41" t="n"/>
      <c r="C1790" s="41" t="n"/>
      <c r="F1790" s="41" t="n"/>
      <c r="H1790" s="41" t="n"/>
    </row>
    <row r="1791" ht="25.8" customHeight="1">
      <c r="B1791" s="41" t="n"/>
      <c r="C1791" s="41" t="n"/>
      <c r="F1791" s="41" t="n"/>
      <c r="H1791" s="41" t="n"/>
    </row>
    <row r="1792" ht="25.8" customHeight="1">
      <c r="B1792" s="41" t="n"/>
      <c r="C1792" s="41" t="n"/>
      <c r="F1792" s="41" t="n"/>
      <c r="H1792" s="41" t="n"/>
    </row>
    <row r="1793" ht="25.8" customHeight="1">
      <c r="B1793" s="41" t="n"/>
      <c r="C1793" s="41" t="n"/>
      <c r="F1793" s="41" t="n"/>
      <c r="H1793" s="41" t="n"/>
    </row>
    <row r="1794" ht="25.8" customHeight="1">
      <c r="B1794" s="41" t="n"/>
      <c r="C1794" s="41" t="n"/>
      <c r="F1794" s="41" t="n"/>
      <c r="H1794" s="41" t="n"/>
    </row>
    <row r="1795" ht="25.8" customHeight="1">
      <c r="B1795" s="41" t="n"/>
      <c r="C1795" s="41" t="n"/>
      <c r="F1795" s="41" t="n"/>
      <c r="H1795" s="41" t="n"/>
    </row>
    <row r="1796" ht="25.8" customHeight="1">
      <c r="B1796" s="41" t="n"/>
      <c r="C1796" s="41" t="n"/>
      <c r="F1796" s="41" t="n"/>
      <c r="H1796" s="41" t="n"/>
    </row>
    <row r="1797" ht="25.8" customHeight="1">
      <c r="B1797" s="41" t="n"/>
      <c r="C1797" s="41" t="n"/>
      <c r="F1797" s="41" t="n"/>
      <c r="H1797" s="41" t="n"/>
    </row>
    <row r="1798" ht="25.8" customHeight="1">
      <c r="B1798" s="41" t="n"/>
      <c r="C1798" s="41" t="n"/>
      <c r="F1798" s="41" t="n"/>
      <c r="H1798" s="41" t="n"/>
    </row>
    <row r="1799" ht="25.8" customHeight="1">
      <c r="B1799" s="41" t="n"/>
      <c r="C1799" s="41" t="n"/>
      <c r="F1799" s="41" t="n"/>
      <c r="H1799" s="41" t="n"/>
    </row>
    <row r="1800" ht="25.8" customHeight="1">
      <c r="B1800" s="41" t="n"/>
      <c r="C1800" s="41" t="n"/>
      <c r="F1800" s="41" t="n"/>
      <c r="H1800" s="41" t="n"/>
    </row>
    <row r="1801" ht="25.8" customHeight="1">
      <c r="B1801" s="41" t="n"/>
      <c r="C1801" s="41" t="n"/>
      <c r="F1801" s="41" t="n"/>
      <c r="H1801" s="41" t="n"/>
    </row>
    <row r="1802" ht="25.8" customHeight="1">
      <c r="B1802" s="41" t="n"/>
      <c r="C1802" s="41" t="n"/>
      <c r="F1802" s="41" t="n"/>
      <c r="H1802" s="41" t="n"/>
    </row>
    <row r="1803" ht="25.8" customHeight="1">
      <c r="B1803" s="41" t="n"/>
      <c r="C1803" s="41" t="n"/>
      <c r="F1803" s="41" t="n"/>
      <c r="H1803" s="41" t="n"/>
    </row>
    <row r="1804" ht="25.8" customHeight="1">
      <c r="B1804" s="41" t="n"/>
      <c r="C1804" s="41" t="n"/>
      <c r="F1804" s="41" t="n"/>
      <c r="H1804" s="41" t="n"/>
    </row>
    <row r="1805" ht="25.8" customHeight="1">
      <c r="B1805" s="41" t="n"/>
      <c r="C1805" s="41" t="n"/>
      <c r="F1805" s="41" t="n"/>
      <c r="H1805" s="41" t="n"/>
    </row>
    <row r="1806" ht="25.8" customHeight="1">
      <c r="B1806" s="41" t="n"/>
      <c r="C1806" s="41" t="n"/>
      <c r="F1806" s="41" t="n"/>
      <c r="H1806" s="41" t="n"/>
    </row>
    <row r="1807" ht="25.8" customHeight="1">
      <c r="B1807" s="41" t="n"/>
      <c r="C1807" s="41" t="n"/>
      <c r="F1807" s="41" t="n"/>
      <c r="H1807" s="41" t="n"/>
    </row>
    <row r="1808" ht="25.8" customHeight="1">
      <c r="B1808" s="41" t="n"/>
      <c r="C1808" s="41" t="n"/>
      <c r="F1808" s="41" t="n"/>
      <c r="H1808" s="41" t="n"/>
    </row>
    <row r="1809" ht="25.8" customHeight="1">
      <c r="B1809" s="41" t="n"/>
      <c r="C1809" s="41" t="n"/>
      <c r="F1809" s="41" t="n"/>
      <c r="H1809" s="41" t="n"/>
    </row>
    <row r="1810" ht="25.8" customHeight="1">
      <c r="B1810" s="41" t="n"/>
      <c r="C1810" s="41" t="n"/>
      <c r="F1810" s="41" t="n"/>
      <c r="H1810" s="41" t="n"/>
    </row>
    <row r="1811" ht="25.8" customHeight="1">
      <c r="B1811" s="41" t="n"/>
      <c r="C1811" s="41" t="n"/>
      <c r="F1811" s="41" t="n"/>
      <c r="H1811" s="41" t="n"/>
    </row>
    <row r="1812" ht="25.8" customHeight="1">
      <c r="B1812" s="41" t="n"/>
      <c r="C1812" s="41" t="n"/>
      <c r="F1812" s="41" t="n"/>
      <c r="H1812" s="41" t="n"/>
    </row>
    <row r="1813" ht="25.8" customHeight="1">
      <c r="B1813" s="41" t="n"/>
      <c r="C1813" s="41" t="n"/>
      <c r="F1813" s="41" t="n"/>
      <c r="H1813" s="41" t="n"/>
    </row>
    <row r="1814" ht="25.8" customHeight="1">
      <c r="B1814" s="41" t="n"/>
      <c r="C1814" s="41" t="n"/>
      <c r="F1814" s="41" t="n"/>
      <c r="H1814" s="41" t="n"/>
    </row>
    <row r="1815" ht="25.8" customHeight="1">
      <c r="B1815" s="41" t="n"/>
      <c r="C1815" s="41" t="n"/>
      <c r="F1815" s="41" t="n"/>
      <c r="H1815" s="41" t="n"/>
    </row>
    <row r="1816" ht="25.8" customHeight="1">
      <c r="B1816" s="41" t="n"/>
      <c r="C1816" s="41" t="n"/>
      <c r="F1816" s="41" t="n"/>
      <c r="H1816" s="41" t="n"/>
    </row>
    <row r="1817" ht="25.8" customHeight="1">
      <c r="B1817" s="41" t="n"/>
      <c r="C1817" s="41" t="n"/>
      <c r="F1817" s="41" t="n"/>
      <c r="H1817" s="41" t="n"/>
    </row>
    <row r="1818" ht="25.8" customHeight="1">
      <c r="B1818" s="41" t="n"/>
      <c r="C1818" s="41" t="n"/>
      <c r="F1818" s="41" t="n"/>
      <c r="H1818" s="41" t="n"/>
    </row>
    <row r="1819" ht="25.8" customHeight="1">
      <c r="B1819" s="41" t="n"/>
      <c r="C1819" s="41" t="n"/>
      <c r="F1819" s="41" t="n"/>
      <c r="H1819" s="41" t="n"/>
    </row>
    <row r="1820" ht="25.8" customHeight="1">
      <c r="B1820" s="41" t="n"/>
      <c r="C1820" s="41" t="n"/>
      <c r="F1820" s="41" t="n"/>
      <c r="H1820" s="41" t="n"/>
    </row>
    <row r="1821" ht="25.8" customHeight="1">
      <c r="B1821" s="41" t="n"/>
      <c r="C1821" s="41" t="n"/>
      <c r="F1821" s="41" t="n"/>
      <c r="H1821" s="41" t="n"/>
    </row>
    <row r="1822" ht="25.8" customHeight="1">
      <c r="B1822" s="41" t="n"/>
      <c r="C1822" s="41" t="n"/>
      <c r="F1822" s="41" t="n"/>
      <c r="H1822" s="41" t="n"/>
    </row>
    <row r="1823" ht="25.8" customHeight="1">
      <c r="B1823" s="41" t="n"/>
      <c r="C1823" s="41" t="n"/>
      <c r="F1823" s="41" t="n"/>
      <c r="H1823" s="41" t="n"/>
    </row>
    <row r="1824" ht="25.8" customHeight="1">
      <c r="B1824" s="41" t="n"/>
      <c r="C1824" s="41" t="n"/>
      <c r="F1824" s="41" t="n"/>
      <c r="H1824" s="41" t="n"/>
    </row>
    <row r="1825" ht="25.8" customHeight="1">
      <c r="B1825" s="41" t="n"/>
      <c r="C1825" s="41" t="n"/>
      <c r="F1825" s="41" t="n"/>
      <c r="H1825" s="41" t="n"/>
    </row>
    <row r="1826" ht="25.8" customHeight="1">
      <c r="B1826" s="41" t="n"/>
      <c r="C1826" s="41" t="n"/>
      <c r="F1826" s="41" t="n"/>
      <c r="H1826" s="41" t="n"/>
    </row>
    <row r="1827" ht="25.8" customHeight="1">
      <c r="B1827" s="41" t="n"/>
      <c r="C1827" s="41" t="n"/>
      <c r="F1827" s="41" t="n"/>
      <c r="H1827" s="41" t="n"/>
    </row>
    <row r="1828" ht="25.8" customHeight="1">
      <c r="B1828" s="41" t="n"/>
      <c r="C1828" s="41" t="n"/>
      <c r="F1828" s="41" t="n"/>
      <c r="H1828" s="41" t="n"/>
    </row>
    <row r="1829" ht="25.8" customHeight="1">
      <c r="B1829" s="41" t="n"/>
      <c r="C1829" s="41" t="n"/>
      <c r="F1829" s="41" t="n"/>
      <c r="H1829" s="41" t="n"/>
    </row>
    <row r="1830" ht="25.8" customHeight="1">
      <c r="B1830" s="41" t="n"/>
      <c r="C1830" s="41" t="n"/>
      <c r="F1830" s="41" t="n"/>
      <c r="H1830" s="41" t="n"/>
    </row>
    <row r="1831" ht="25.8" customHeight="1">
      <c r="B1831" s="41" t="n"/>
      <c r="C1831" s="41" t="n"/>
      <c r="F1831" s="41" t="n"/>
      <c r="H1831" s="41" t="n"/>
    </row>
    <row r="1832" ht="25.8" customHeight="1">
      <c r="B1832" s="41" t="n"/>
      <c r="C1832" s="41" t="n"/>
      <c r="F1832" s="41" t="n"/>
      <c r="H1832" s="41" t="n"/>
    </row>
    <row r="1833" ht="25.8" customHeight="1">
      <c r="B1833" s="41" t="n"/>
      <c r="C1833" s="41" t="n"/>
      <c r="F1833" s="41" t="n"/>
      <c r="H1833" s="41" t="n"/>
    </row>
    <row r="1834" ht="25.8" customHeight="1">
      <c r="B1834" s="41" t="n"/>
      <c r="C1834" s="41" t="n"/>
      <c r="F1834" s="41" t="n"/>
      <c r="H1834" s="41" t="n"/>
    </row>
    <row r="1835" ht="25.8" customHeight="1">
      <c r="B1835" s="41" t="n"/>
      <c r="C1835" s="41" t="n"/>
      <c r="F1835" s="41" t="n"/>
      <c r="H1835" s="41" t="n"/>
    </row>
    <row r="1836" ht="25.8" customHeight="1">
      <c r="B1836" s="41" t="n"/>
      <c r="C1836" s="41" t="n"/>
      <c r="F1836" s="41" t="n"/>
      <c r="H1836" s="41" t="n"/>
    </row>
    <row r="1837" ht="25.8" customHeight="1">
      <c r="B1837" s="41" t="n"/>
      <c r="C1837" s="41" t="n"/>
      <c r="F1837" s="41" t="n"/>
      <c r="H1837" s="41" t="n"/>
    </row>
    <row r="1838" ht="25.8" customHeight="1">
      <c r="B1838" s="41" t="n"/>
      <c r="C1838" s="41" t="n"/>
      <c r="F1838" s="41" t="n"/>
      <c r="H1838" s="41" t="n"/>
    </row>
    <row r="1839" ht="25.8" customHeight="1">
      <c r="B1839" s="41" t="n"/>
      <c r="C1839" s="41" t="n"/>
      <c r="F1839" s="41" t="n"/>
      <c r="H1839" s="41" t="n"/>
    </row>
    <row r="1840" ht="25.8" customHeight="1">
      <c r="B1840" s="41" t="n"/>
      <c r="C1840" s="41" t="n"/>
      <c r="F1840" s="41" t="n"/>
      <c r="H1840" s="41" t="n"/>
    </row>
    <row r="1841" ht="25.8" customHeight="1">
      <c r="B1841" s="41" t="n"/>
      <c r="C1841" s="41" t="n"/>
      <c r="F1841" s="41" t="n"/>
      <c r="H1841" s="41" t="n"/>
    </row>
    <row r="1842" ht="25.8" customHeight="1">
      <c r="B1842" s="41" t="n"/>
      <c r="C1842" s="41" t="n"/>
      <c r="F1842" s="41" t="n"/>
      <c r="H1842" s="41" t="n"/>
    </row>
    <row r="1843" ht="25.8" customHeight="1">
      <c r="B1843" s="41" t="n"/>
      <c r="C1843" s="41" t="n"/>
      <c r="F1843" s="41" t="n"/>
      <c r="H1843" s="41" t="n"/>
    </row>
    <row r="1844" ht="25.8" customHeight="1">
      <c r="B1844" s="41" t="n"/>
      <c r="C1844" s="41" t="n"/>
      <c r="F1844" s="41" t="n"/>
      <c r="H1844" s="41" t="n"/>
    </row>
    <row r="1845" ht="25.8" customHeight="1">
      <c r="B1845" s="41" t="n"/>
      <c r="C1845" s="41" t="n"/>
      <c r="F1845" s="41" t="n"/>
      <c r="H1845" s="41" t="n"/>
    </row>
    <row r="1846" ht="25.8" customHeight="1">
      <c r="B1846" s="41" t="n"/>
      <c r="C1846" s="41" t="n"/>
      <c r="F1846" s="41" t="n"/>
      <c r="H1846" s="41" t="n"/>
    </row>
    <row r="1847" ht="25.8" customHeight="1">
      <c r="B1847" s="41" t="n"/>
      <c r="C1847" s="41" t="n"/>
      <c r="F1847" s="41" t="n"/>
      <c r="H1847" s="41" t="n"/>
    </row>
    <row r="1848" ht="25.8" customHeight="1">
      <c r="B1848" s="41" t="n"/>
      <c r="C1848" s="41" t="n"/>
      <c r="F1848" s="41" t="n"/>
      <c r="H1848" s="41" t="n"/>
    </row>
    <row r="1849" ht="25.8" customHeight="1">
      <c r="B1849" s="41" t="n"/>
      <c r="C1849" s="41" t="n"/>
      <c r="F1849" s="41" t="n"/>
      <c r="H1849" s="41" t="n"/>
    </row>
    <row r="1850" ht="25.8" customHeight="1">
      <c r="B1850" s="41" t="n"/>
      <c r="C1850" s="41" t="n"/>
      <c r="F1850" s="41" t="n"/>
      <c r="H1850" s="41" t="n"/>
    </row>
    <row r="1851" ht="25.8" customHeight="1">
      <c r="B1851" s="41" t="n"/>
      <c r="C1851" s="41" t="n"/>
      <c r="F1851" s="41" t="n"/>
      <c r="H1851" s="41" t="n"/>
    </row>
    <row r="1852" ht="25.8" customHeight="1">
      <c r="B1852" s="41" t="n"/>
      <c r="C1852" s="41" t="n"/>
      <c r="F1852" s="41" t="n"/>
      <c r="H1852" s="41" t="n"/>
    </row>
    <row r="1853" ht="25.8" customHeight="1">
      <c r="B1853" s="41" t="n"/>
      <c r="C1853" s="41" t="n"/>
      <c r="F1853" s="41" t="n"/>
      <c r="H1853" s="41" t="n"/>
    </row>
    <row r="1854" ht="25.8" customHeight="1">
      <c r="B1854" s="41" t="n"/>
      <c r="C1854" s="41" t="n"/>
      <c r="F1854" s="41" t="n"/>
      <c r="H1854" s="41" t="n"/>
    </row>
    <row r="1855" ht="25.8" customHeight="1">
      <c r="B1855" s="41" t="n"/>
      <c r="C1855" s="41" t="n"/>
      <c r="F1855" s="41" t="n"/>
      <c r="H1855" s="41" t="n"/>
    </row>
    <row r="1856" ht="25.8" customHeight="1">
      <c r="B1856" s="41" t="n"/>
      <c r="C1856" s="41" t="n"/>
      <c r="F1856" s="41" t="n"/>
      <c r="H1856" s="41" t="n"/>
    </row>
    <row r="1857" ht="25.8" customHeight="1">
      <c r="B1857" s="41" t="n"/>
      <c r="C1857" s="41" t="n"/>
      <c r="F1857" s="41" t="n"/>
      <c r="H1857" s="41" t="n"/>
    </row>
    <row r="1858" ht="25.8" customHeight="1">
      <c r="B1858" s="41" t="n"/>
      <c r="C1858" s="41" t="n"/>
      <c r="F1858" s="41" t="n"/>
      <c r="H1858" s="41" t="n"/>
    </row>
    <row r="1859" ht="25.8" customHeight="1">
      <c r="B1859" s="41" t="n"/>
      <c r="C1859" s="41" t="n"/>
      <c r="F1859" s="41" t="n"/>
      <c r="H1859" s="41" t="n"/>
    </row>
    <row r="1860" ht="25.8" customHeight="1">
      <c r="B1860" s="41" t="n"/>
      <c r="C1860" s="41" t="n"/>
      <c r="F1860" s="41" t="n"/>
      <c r="H1860" s="41" t="n"/>
    </row>
    <row r="1861" ht="25.8" customHeight="1">
      <c r="B1861" s="41" t="n"/>
      <c r="C1861" s="41" t="n"/>
      <c r="F1861" s="41" t="n"/>
      <c r="H1861" s="41" t="n"/>
    </row>
    <row r="1862" ht="25.8" customHeight="1">
      <c r="B1862" s="41" t="n"/>
      <c r="C1862" s="41" t="n"/>
      <c r="F1862" s="41" t="n"/>
      <c r="H1862" s="41" t="n"/>
    </row>
    <row r="1863" ht="25.8" customHeight="1">
      <c r="B1863" s="41" t="n"/>
      <c r="C1863" s="41" t="n"/>
      <c r="F1863" s="41" t="n"/>
      <c r="H1863" s="41" t="n"/>
    </row>
    <row r="1864" ht="25.8" customHeight="1">
      <c r="B1864" s="41" t="n"/>
      <c r="C1864" s="41" t="n"/>
      <c r="F1864" s="41" t="n"/>
      <c r="H1864" s="41" t="n"/>
    </row>
    <row r="1865" ht="25.8" customHeight="1">
      <c r="B1865" s="41" t="n"/>
      <c r="C1865" s="41" t="n"/>
      <c r="F1865" s="41" t="n"/>
      <c r="H1865" s="41" t="n"/>
    </row>
    <row r="1866" ht="25.8" customHeight="1">
      <c r="B1866" s="41" t="n"/>
      <c r="C1866" s="41" t="n"/>
      <c r="F1866" s="41" t="n"/>
      <c r="H1866" s="41" t="n"/>
    </row>
    <row r="1867" ht="25.8" customHeight="1">
      <c r="B1867" s="41" t="n"/>
      <c r="C1867" s="41" t="n"/>
      <c r="F1867" s="41" t="n"/>
      <c r="H1867" s="41" t="n"/>
    </row>
    <row r="1868" ht="25.8" customHeight="1">
      <c r="B1868" s="41" t="n"/>
      <c r="C1868" s="41" t="n"/>
      <c r="F1868" s="41" t="n"/>
      <c r="H1868" s="41" t="n"/>
    </row>
    <row r="1869" ht="25.8" customHeight="1">
      <c r="B1869" s="41" t="n"/>
      <c r="C1869" s="41" t="n"/>
      <c r="F1869" s="41" t="n"/>
      <c r="H1869" s="41" t="n"/>
    </row>
    <row r="1870" ht="25.8" customHeight="1">
      <c r="B1870" s="41" t="n"/>
      <c r="C1870" s="41" t="n"/>
      <c r="F1870" s="41" t="n"/>
      <c r="H1870" s="41" t="n"/>
    </row>
    <row r="1871" ht="25.8" customHeight="1">
      <c r="B1871" s="41" t="n"/>
      <c r="C1871" s="41" t="n"/>
      <c r="F1871" s="41" t="n"/>
      <c r="H1871" s="41" t="n"/>
    </row>
    <row r="1872" ht="25.8" customHeight="1">
      <c r="B1872" s="41" t="n"/>
      <c r="C1872" s="41" t="n"/>
      <c r="F1872" s="41" t="n"/>
      <c r="H1872" s="41" t="n"/>
    </row>
    <row r="1873" ht="25.8" customHeight="1">
      <c r="B1873" s="41" t="n"/>
      <c r="C1873" s="41" t="n"/>
      <c r="F1873" s="41" t="n"/>
      <c r="H1873" s="41" t="n"/>
    </row>
    <row r="1874" ht="25.8" customHeight="1">
      <c r="B1874" s="41" t="n"/>
      <c r="C1874" s="41" t="n"/>
      <c r="F1874" s="41" t="n"/>
      <c r="H1874" s="41" t="n"/>
    </row>
    <row r="1875" ht="25.8" customHeight="1">
      <c r="B1875" s="41" t="n"/>
      <c r="C1875" s="41" t="n"/>
      <c r="F1875" s="41" t="n"/>
      <c r="H1875" s="41" t="n"/>
    </row>
    <row r="1876" ht="25.8" customHeight="1">
      <c r="B1876" s="41" t="n"/>
      <c r="C1876" s="41" t="n"/>
      <c r="F1876" s="41" t="n"/>
      <c r="H1876" s="41" t="n"/>
    </row>
    <row r="1877" ht="25.8" customHeight="1">
      <c r="B1877" s="41" t="n"/>
      <c r="C1877" s="41" t="n"/>
      <c r="F1877" s="41" t="n"/>
      <c r="H1877" s="41" t="n"/>
    </row>
    <row r="1878" ht="25.8" customHeight="1">
      <c r="B1878" s="41" t="n"/>
      <c r="C1878" s="41" t="n"/>
      <c r="F1878" s="41" t="n"/>
      <c r="H1878" s="41" t="n"/>
    </row>
    <row r="1879" ht="25.8" customHeight="1">
      <c r="B1879" s="41" t="n"/>
      <c r="C1879" s="41" t="n"/>
      <c r="F1879" s="41" t="n"/>
      <c r="H1879" s="41" t="n"/>
    </row>
    <row r="1880" ht="25.8" customHeight="1">
      <c r="B1880" s="41" t="n"/>
      <c r="C1880" s="41" t="n"/>
      <c r="F1880" s="41" t="n"/>
      <c r="H1880" s="41" t="n"/>
    </row>
    <row r="1881" ht="25.8" customHeight="1">
      <c r="B1881" s="41" t="n"/>
      <c r="C1881" s="41" t="n"/>
      <c r="F1881" s="41" t="n"/>
      <c r="H1881" s="41" t="n"/>
    </row>
    <row r="1882" ht="25.8" customHeight="1">
      <c r="B1882" s="41" t="n"/>
      <c r="C1882" s="41" t="n"/>
      <c r="F1882" s="41" t="n"/>
      <c r="H1882" s="41" t="n"/>
    </row>
    <row r="1883" ht="25.8" customHeight="1">
      <c r="B1883" s="41" t="n"/>
      <c r="C1883" s="41" t="n"/>
      <c r="F1883" s="41" t="n"/>
      <c r="H1883" s="41" t="n"/>
    </row>
    <row r="1884" ht="25.8" customHeight="1">
      <c r="B1884" s="41" t="n"/>
      <c r="C1884" s="41" t="n"/>
      <c r="F1884" s="41" t="n"/>
      <c r="H1884" s="41" t="n"/>
    </row>
    <row r="1885" ht="25.8" customHeight="1">
      <c r="B1885" s="41" t="n"/>
      <c r="C1885" s="41" t="n"/>
      <c r="F1885" s="41" t="n"/>
      <c r="H1885" s="41" t="n"/>
    </row>
    <row r="1886" ht="25.8" customHeight="1">
      <c r="B1886" s="41" t="n"/>
      <c r="C1886" s="41" t="n"/>
      <c r="F1886" s="41" t="n"/>
      <c r="H1886" s="41" t="n"/>
    </row>
    <row r="1887" ht="25.8" customHeight="1">
      <c r="B1887" s="41" t="n"/>
      <c r="C1887" s="41" t="n"/>
      <c r="F1887" s="41" t="n"/>
      <c r="H1887" s="41" t="n"/>
    </row>
    <row r="1888" ht="25.8" customHeight="1">
      <c r="B1888" s="41" t="n"/>
      <c r="C1888" s="41" t="n"/>
      <c r="F1888" s="41" t="n"/>
      <c r="H1888" s="41" t="n"/>
    </row>
    <row r="1889" ht="25.8" customHeight="1">
      <c r="B1889" s="41" t="n"/>
      <c r="C1889" s="41" t="n"/>
      <c r="F1889" s="41" t="n"/>
      <c r="H1889" s="41" t="n"/>
    </row>
    <row r="1890" ht="25.8" customHeight="1">
      <c r="B1890" s="41" t="n"/>
      <c r="C1890" s="41" t="n"/>
      <c r="F1890" s="41" t="n"/>
      <c r="H1890" s="41" t="n"/>
    </row>
    <row r="1891" ht="25.8" customHeight="1">
      <c r="B1891" s="41" t="n"/>
      <c r="C1891" s="41" t="n"/>
      <c r="F1891" s="41" t="n"/>
      <c r="H1891" s="41" t="n"/>
    </row>
    <row r="1892" ht="25.8" customHeight="1">
      <c r="B1892" s="41" t="n"/>
      <c r="C1892" s="41" t="n"/>
      <c r="F1892" s="41" t="n"/>
      <c r="H1892" s="41" t="n"/>
    </row>
    <row r="1893" ht="25.8" customHeight="1">
      <c r="B1893" s="41" t="n"/>
      <c r="C1893" s="41" t="n"/>
      <c r="F1893" s="41" t="n"/>
      <c r="H1893" s="41" t="n"/>
    </row>
    <row r="1894" ht="25.8" customHeight="1">
      <c r="B1894" s="41" t="n"/>
      <c r="C1894" s="41" t="n"/>
      <c r="F1894" s="41" t="n"/>
      <c r="H1894" s="41" t="n"/>
    </row>
    <row r="1895" ht="25.8" customHeight="1">
      <c r="B1895" s="41" t="n"/>
      <c r="C1895" s="41" t="n"/>
      <c r="F1895" s="41" t="n"/>
      <c r="H1895" s="41" t="n"/>
    </row>
    <row r="1896" ht="25.8" customHeight="1">
      <c r="B1896" s="41" t="n"/>
      <c r="C1896" s="41" t="n"/>
      <c r="F1896" s="41" t="n"/>
      <c r="H1896" s="41" t="n"/>
    </row>
    <row r="1897" ht="25.8" customHeight="1">
      <c r="B1897" s="41" t="n"/>
      <c r="C1897" s="41" t="n"/>
      <c r="F1897" s="41" t="n"/>
      <c r="H1897" s="41" t="n"/>
    </row>
    <row r="1898" ht="25.8" customHeight="1">
      <c r="B1898" s="41" t="n"/>
      <c r="C1898" s="41" t="n"/>
      <c r="F1898" s="41" t="n"/>
      <c r="H1898" s="41" t="n"/>
    </row>
    <row r="1899" ht="25.8" customHeight="1">
      <c r="B1899" s="41" t="n"/>
      <c r="C1899" s="41" t="n"/>
      <c r="F1899" s="41" t="n"/>
      <c r="H1899" s="41" t="n"/>
    </row>
    <row r="1900" ht="25.8" customHeight="1">
      <c r="B1900" s="41" t="n"/>
      <c r="C1900" s="41" t="n"/>
      <c r="F1900" s="41" t="n"/>
      <c r="H1900" s="41" t="n"/>
    </row>
    <row r="1901" ht="25.8" customHeight="1">
      <c r="B1901" s="41" t="n"/>
      <c r="C1901" s="41" t="n"/>
      <c r="F1901" s="41" t="n"/>
      <c r="H1901" s="41" t="n"/>
    </row>
    <row r="1902" ht="25.8" customHeight="1">
      <c r="B1902" s="41" t="n"/>
      <c r="C1902" s="41" t="n"/>
      <c r="F1902" s="41" t="n"/>
      <c r="H1902" s="41" t="n"/>
    </row>
    <row r="1903" ht="25.8" customHeight="1">
      <c r="B1903" s="41" t="n"/>
      <c r="C1903" s="41" t="n"/>
      <c r="F1903" s="41" t="n"/>
      <c r="H1903" s="41" t="n"/>
    </row>
    <row r="1904" ht="25.8" customHeight="1">
      <c r="B1904" s="41" t="n"/>
      <c r="C1904" s="41" t="n"/>
      <c r="F1904" s="41" t="n"/>
      <c r="H1904" s="41" t="n"/>
    </row>
    <row r="1905" ht="25.8" customHeight="1">
      <c r="B1905" s="41" t="n"/>
      <c r="C1905" s="41" t="n"/>
      <c r="F1905" s="41" t="n"/>
      <c r="H1905" s="41" t="n"/>
    </row>
    <row r="1906" ht="25.8" customHeight="1">
      <c r="B1906" s="41" t="n"/>
      <c r="C1906" s="41" t="n"/>
      <c r="F1906" s="41" t="n"/>
      <c r="H1906" s="41" t="n"/>
    </row>
    <row r="1907" ht="25.8" customHeight="1">
      <c r="B1907" s="41" t="n"/>
      <c r="C1907" s="41" t="n"/>
      <c r="F1907" s="41" t="n"/>
      <c r="H1907" s="41" t="n"/>
    </row>
    <row r="1908" ht="25.8" customHeight="1">
      <c r="B1908" s="41" t="n"/>
      <c r="C1908" s="41" t="n"/>
      <c r="F1908" s="41" t="n"/>
      <c r="H1908" s="41" t="n"/>
    </row>
    <row r="1909" ht="25.8" customHeight="1">
      <c r="B1909" s="41" t="n"/>
      <c r="C1909" s="41" t="n"/>
      <c r="F1909" s="41" t="n"/>
      <c r="H1909" s="41" t="n"/>
    </row>
    <row r="1910" ht="25.8" customHeight="1">
      <c r="B1910" s="41" t="n"/>
      <c r="C1910" s="41" t="n"/>
      <c r="F1910" s="41" t="n"/>
      <c r="H1910" s="41" t="n"/>
    </row>
    <row r="1911" ht="25.8" customHeight="1">
      <c r="B1911" s="41" t="n"/>
      <c r="C1911" s="41" t="n"/>
      <c r="F1911" s="41" t="n"/>
      <c r="H1911" s="41" t="n"/>
    </row>
    <row r="1912" ht="25.8" customHeight="1">
      <c r="B1912" s="41" t="n"/>
      <c r="C1912" s="41" t="n"/>
      <c r="F1912" s="41" t="n"/>
      <c r="H1912" s="41" t="n"/>
    </row>
    <row r="1913" ht="25.8" customHeight="1">
      <c r="B1913" s="41" t="n"/>
      <c r="C1913" s="41" t="n"/>
      <c r="F1913" s="41" t="n"/>
      <c r="H1913" s="41" t="n"/>
    </row>
    <row r="1914" ht="25.8" customHeight="1">
      <c r="B1914" s="41" t="n"/>
      <c r="C1914" s="41" t="n"/>
      <c r="F1914" s="41" t="n"/>
      <c r="H1914" s="41" t="n"/>
    </row>
    <row r="1915" ht="25.8" customHeight="1">
      <c r="B1915" s="41" t="n"/>
      <c r="C1915" s="41" t="n"/>
      <c r="F1915" s="41" t="n"/>
      <c r="H1915" s="41" t="n"/>
    </row>
    <row r="1916" ht="25.8" customHeight="1">
      <c r="B1916" s="41" t="n"/>
      <c r="C1916" s="41" t="n"/>
      <c r="F1916" s="41" t="n"/>
      <c r="H1916" s="41" t="n"/>
    </row>
    <row r="1917" ht="25.8" customHeight="1">
      <c r="B1917" s="41" t="n"/>
      <c r="C1917" s="41" t="n"/>
      <c r="F1917" s="41" t="n"/>
      <c r="H1917" s="41" t="n"/>
    </row>
    <row r="1918" ht="25.8" customHeight="1">
      <c r="B1918" s="41" t="n"/>
      <c r="C1918" s="41" t="n"/>
      <c r="F1918" s="41" t="n"/>
      <c r="H1918" s="41" t="n"/>
    </row>
    <row r="1919" ht="25.8" customHeight="1">
      <c r="B1919" s="41" t="n"/>
      <c r="C1919" s="41" t="n"/>
      <c r="F1919" s="41" t="n"/>
      <c r="H1919" s="41" t="n"/>
    </row>
    <row r="1920" ht="25.8" customHeight="1">
      <c r="B1920" s="41" t="n"/>
      <c r="C1920" s="41" t="n"/>
      <c r="F1920" s="41" t="n"/>
      <c r="H1920" s="41" t="n"/>
    </row>
    <row r="1921" ht="25.8" customHeight="1">
      <c r="B1921" s="41" t="n"/>
      <c r="C1921" s="41" t="n"/>
      <c r="F1921" s="41" t="n"/>
      <c r="H1921" s="41" t="n"/>
    </row>
    <row r="1922" ht="25.8" customHeight="1">
      <c r="B1922" s="41" t="n"/>
      <c r="C1922" s="41" t="n"/>
      <c r="F1922" s="41" t="n"/>
      <c r="H1922" s="41" t="n"/>
    </row>
    <row r="1923" ht="25.8" customHeight="1">
      <c r="B1923" s="41" t="n"/>
      <c r="C1923" s="41" t="n"/>
      <c r="F1923" s="41" t="n"/>
      <c r="H1923" s="41" t="n"/>
    </row>
    <row r="1924" ht="25.8" customHeight="1">
      <c r="B1924" s="41" t="n"/>
      <c r="C1924" s="41" t="n"/>
      <c r="F1924" s="41" t="n"/>
      <c r="H1924" s="41" t="n"/>
    </row>
    <row r="1925" ht="25.8" customHeight="1">
      <c r="B1925" s="41" t="n"/>
      <c r="C1925" s="41" t="n"/>
      <c r="F1925" s="41" t="n"/>
      <c r="H1925" s="41" t="n"/>
    </row>
    <row r="1926" ht="25.8" customHeight="1">
      <c r="B1926" s="41" t="n"/>
      <c r="C1926" s="41" t="n"/>
      <c r="F1926" s="41" t="n"/>
      <c r="H1926" s="41" t="n"/>
    </row>
    <row r="1927" ht="25.8" customHeight="1">
      <c r="B1927" s="41" t="n"/>
      <c r="C1927" s="41" t="n"/>
      <c r="F1927" s="41" t="n"/>
      <c r="H1927" s="41" t="n"/>
    </row>
    <row r="1928" ht="25.8" customHeight="1">
      <c r="B1928" s="41" t="n"/>
      <c r="C1928" s="41" t="n"/>
      <c r="F1928" s="41" t="n"/>
      <c r="H1928" s="41" t="n"/>
    </row>
    <row r="1929" ht="25.8" customHeight="1">
      <c r="B1929" s="41" t="n"/>
      <c r="C1929" s="41" t="n"/>
      <c r="F1929" s="41" t="n"/>
      <c r="H1929" s="41" t="n"/>
    </row>
    <row r="1930" ht="25.8" customHeight="1">
      <c r="B1930" s="41" t="n"/>
      <c r="C1930" s="41" t="n"/>
      <c r="F1930" s="41" t="n"/>
      <c r="H1930" s="41" t="n"/>
    </row>
    <row r="1931" ht="25.8" customHeight="1">
      <c r="B1931" s="41" t="n"/>
      <c r="C1931" s="41" t="n"/>
      <c r="F1931" s="41" t="n"/>
      <c r="H1931" s="41" t="n"/>
    </row>
    <row r="1932" ht="25.8" customHeight="1">
      <c r="B1932" s="41" t="n"/>
      <c r="C1932" s="41" t="n"/>
      <c r="F1932" s="41" t="n"/>
      <c r="H1932" s="41" t="n"/>
    </row>
    <row r="1933" ht="25.8" customHeight="1">
      <c r="B1933" s="41" t="n"/>
      <c r="C1933" s="41" t="n"/>
      <c r="F1933" s="41" t="n"/>
      <c r="H1933" s="41" t="n"/>
    </row>
    <row r="1934" ht="25.8" customHeight="1">
      <c r="B1934" s="41" t="n"/>
      <c r="C1934" s="41" t="n"/>
      <c r="F1934" s="41" t="n"/>
      <c r="H1934" s="41" t="n"/>
    </row>
    <row r="1935" ht="25.8" customHeight="1">
      <c r="B1935" s="41" t="n"/>
      <c r="C1935" s="41" t="n"/>
      <c r="F1935" s="41" t="n"/>
      <c r="H1935" s="41" t="n"/>
    </row>
    <row r="1936" ht="25.8" customHeight="1">
      <c r="B1936" s="41" t="n"/>
      <c r="C1936" s="41" t="n"/>
      <c r="F1936" s="41" t="n"/>
      <c r="H1936" s="41" t="n"/>
    </row>
    <row r="1937" ht="25.8" customHeight="1">
      <c r="B1937" s="41" t="n"/>
      <c r="C1937" s="41" t="n"/>
      <c r="F1937" s="41" t="n"/>
      <c r="H1937" s="41" t="n"/>
    </row>
    <row r="1938" ht="25.8" customHeight="1">
      <c r="B1938" s="41" t="n"/>
      <c r="C1938" s="41" t="n"/>
      <c r="F1938" s="41" t="n"/>
      <c r="H1938" s="41" t="n"/>
    </row>
    <row r="1939" ht="25.8" customHeight="1">
      <c r="B1939" s="41" t="n"/>
      <c r="C1939" s="41" t="n"/>
      <c r="F1939" s="41" t="n"/>
      <c r="H1939" s="41" t="n"/>
    </row>
    <row r="1940" ht="25.8" customHeight="1">
      <c r="B1940" s="41" t="n"/>
      <c r="C1940" s="41" t="n"/>
      <c r="F1940" s="41" t="n"/>
      <c r="H1940" s="41" t="n"/>
    </row>
    <row r="1941" ht="25.8" customHeight="1">
      <c r="B1941" s="41" t="n"/>
      <c r="C1941" s="41" t="n"/>
      <c r="F1941" s="41" t="n"/>
      <c r="H1941" s="41" t="n"/>
    </row>
    <row r="1942" ht="25.8" customHeight="1">
      <c r="B1942" s="41" t="n"/>
      <c r="C1942" s="41" t="n"/>
      <c r="F1942" s="41" t="n"/>
      <c r="H1942" s="41" t="n"/>
    </row>
    <row r="1943" ht="25.8" customHeight="1">
      <c r="B1943" s="41" t="n"/>
      <c r="C1943" s="41" t="n"/>
      <c r="F1943" s="41" t="n"/>
      <c r="H1943" s="41" t="n"/>
    </row>
    <row r="1944" ht="25.8" customHeight="1">
      <c r="B1944" s="41" t="n"/>
      <c r="C1944" s="41" t="n"/>
      <c r="F1944" s="41" t="n"/>
      <c r="H1944" s="41" t="n"/>
    </row>
    <row r="1945" ht="25.8" customHeight="1">
      <c r="B1945" s="41" t="n"/>
      <c r="C1945" s="41" t="n"/>
      <c r="F1945" s="41" t="n"/>
      <c r="H1945" s="41" t="n"/>
    </row>
    <row r="1946" ht="25.8" customHeight="1">
      <c r="B1946" s="41" t="n"/>
      <c r="C1946" s="41" t="n"/>
      <c r="F1946" s="41" t="n"/>
      <c r="H1946" s="41" t="n"/>
    </row>
    <row r="1947" ht="25.8" customHeight="1">
      <c r="B1947" s="41" t="n"/>
      <c r="C1947" s="41" t="n"/>
      <c r="F1947" s="41" t="n"/>
      <c r="H1947" s="41" t="n"/>
    </row>
    <row r="1948" ht="25.8" customHeight="1">
      <c r="B1948" s="41" t="n"/>
      <c r="C1948" s="41" t="n"/>
      <c r="F1948" s="41" t="n"/>
      <c r="H1948" s="41" t="n"/>
    </row>
    <row r="1949" ht="25.8" customHeight="1">
      <c r="B1949" s="41" t="n"/>
      <c r="C1949" s="41" t="n"/>
      <c r="F1949" s="41" t="n"/>
      <c r="H1949" s="41" t="n"/>
    </row>
    <row r="1950" ht="25.8" customHeight="1">
      <c r="B1950" s="41" t="n"/>
      <c r="C1950" s="41" t="n"/>
      <c r="F1950" s="41" t="n"/>
      <c r="H1950" s="41" t="n"/>
    </row>
    <row r="1951" ht="25.8" customHeight="1">
      <c r="B1951" s="41" t="n"/>
      <c r="C1951" s="41" t="n"/>
      <c r="F1951" s="41" t="n"/>
      <c r="H1951" s="41" t="n"/>
    </row>
    <row r="1952" ht="25.8" customHeight="1">
      <c r="B1952" s="41" t="n"/>
      <c r="C1952" s="41" t="n"/>
      <c r="F1952" s="41" t="n"/>
      <c r="H1952" s="41" t="n"/>
    </row>
    <row r="1953" ht="25.8" customHeight="1">
      <c r="B1953" s="41" t="n"/>
      <c r="C1953" s="41" t="n"/>
      <c r="F1953" s="41" t="n"/>
      <c r="H1953" s="41" t="n"/>
    </row>
    <row r="1954" ht="25.8" customHeight="1">
      <c r="B1954" s="41" t="n"/>
      <c r="C1954" s="41" t="n"/>
      <c r="F1954" s="41" t="n"/>
      <c r="H1954" s="41" t="n"/>
    </row>
    <row r="1955" ht="25.8" customHeight="1">
      <c r="B1955" s="41" t="n"/>
      <c r="C1955" s="41" t="n"/>
      <c r="F1955" s="41" t="n"/>
      <c r="H1955" s="41" t="n"/>
    </row>
    <row r="1956" ht="25.8" customHeight="1">
      <c r="B1956" s="41" t="n"/>
      <c r="C1956" s="41" t="n"/>
      <c r="F1956" s="41" t="n"/>
      <c r="H1956" s="41" t="n"/>
    </row>
    <row r="1957" ht="25.8" customHeight="1">
      <c r="B1957" s="41" t="n"/>
      <c r="C1957" s="41" t="n"/>
      <c r="F1957" s="41" t="n"/>
      <c r="H1957" s="41" t="n"/>
    </row>
    <row r="1958" ht="25.8" customHeight="1">
      <c r="B1958" s="41" t="n"/>
      <c r="C1958" s="41" t="n"/>
      <c r="F1958" s="41" t="n"/>
      <c r="H1958" s="41" t="n"/>
    </row>
    <row r="1959" ht="25.8" customHeight="1">
      <c r="B1959" s="41" t="n"/>
      <c r="C1959" s="41" t="n"/>
      <c r="F1959" s="41" t="n"/>
      <c r="H1959" s="41" t="n"/>
    </row>
    <row r="1960" ht="25.8" customHeight="1">
      <c r="B1960" s="41" t="n"/>
      <c r="C1960" s="41" t="n"/>
      <c r="F1960" s="41" t="n"/>
      <c r="H1960" s="41" t="n"/>
    </row>
    <row r="1961" ht="25.8" customHeight="1">
      <c r="B1961" s="41" t="n"/>
      <c r="C1961" s="41" t="n"/>
      <c r="F1961" s="41" t="n"/>
      <c r="H1961" s="41" t="n"/>
    </row>
    <row r="1962" ht="25.8" customHeight="1">
      <c r="B1962" s="41" t="n"/>
      <c r="C1962" s="41" t="n"/>
      <c r="F1962" s="41" t="n"/>
      <c r="H1962" s="41" t="n"/>
    </row>
    <row r="1963" ht="25.8" customHeight="1">
      <c r="B1963" s="41" t="n"/>
      <c r="C1963" s="41" t="n"/>
      <c r="F1963" s="41" t="n"/>
      <c r="H1963" s="41" t="n"/>
    </row>
    <row r="1964" ht="25.8" customHeight="1">
      <c r="B1964" s="41" t="n"/>
      <c r="C1964" s="41" t="n"/>
      <c r="F1964" s="41" t="n"/>
      <c r="H1964" s="41" t="n"/>
    </row>
    <row r="1965" ht="25.8" customHeight="1">
      <c r="B1965" s="41" t="n"/>
      <c r="C1965" s="41" t="n"/>
      <c r="F1965" s="41" t="n"/>
      <c r="H1965" s="41" t="n"/>
    </row>
    <row r="1966" ht="25.8" customHeight="1">
      <c r="B1966" s="41" t="n"/>
      <c r="C1966" s="41" t="n"/>
      <c r="F1966" s="41" t="n"/>
      <c r="H1966" s="41" t="n"/>
    </row>
    <row r="1967" ht="25.8" customHeight="1">
      <c r="B1967" s="41" t="n"/>
      <c r="C1967" s="41" t="n"/>
      <c r="F1967" s="41" t="n"/>
      <c r="H1967" s="41" t="n"/>
    </row>
    <row r="1968" ht="25.8" customHeight="1">
      <c r="B1968" s="41" t="n"/>
      <c r="C1968" s="41" t="n"/>
      <c r="F1968" s="41" t="n"/>
      <c r="H1968" s="41" t="n"/>
    </row>
    <row r="1969" ht="25.8" customHeight="1">
      <c r="B1969" s="41" t="n"/>
      <c r="C1969" s="41" t="n"/>
      <c r="F1969" s="41" t="n"/>
      <c r="H1969" s="41" t="n"/>
    </row>
    <row r="1970" ht="25.8" customHeight="1">
      <c r="B1970" s="41" t="n"/>
      <c r="C1970" s="41" t="n"/>
      <c r="F1970" s="41" t="n"/>
      <c r="H1970" s="41" t="n"/>
    </row>
    <row r="1971" ht="25.8" customHeight="1">
      <c r="B1971" s="41" t="n"/>
      <c r="C1971" s="41" t="n"/>
      <c r="F1971" s="41" t="n"/>
      <c r="H1971" s="41" t="n"/>
    </row>
    <row r="1972" ht="25.8" customHeight="1">
      <c r="B1972" s="41" t="n"/>
      <c r="C1972" s="41" t="n"/>
      <c r="F1972" s="41" t="n"/>
      <c r="H1972" s="41" t="n"/>
    </row>
    <row r="1973" ht="25.8" customHeight="1">
      <c r="B1973" s="41" t="n"/>
      <c r="C1973" s="41" t="n"/>
      <c r="F1973" s="41" t="n"/>
      <c r="H1973" s="41" t="n"/>
    </row>
    <row r="1974" ht="25.8" customHeight="1">
      <c r="B1974" s="41" t="n"/>
      <c r="C1974" s="41" t="n"/>
      <c r="F1974" s="41" t="n"/>
      <c r="H1974" s="41" t="n"/>
    </row>
    <row r="1975" ht="25.8" customHeight="1">
      <c r="B1975" s="41" t="n"/>
      <c r="C1975" s="41" t="n"/>
      <c r="F1975" s="41" t="n"/>
      <c r="H1975" s="41" t="n"/>
    </row>
    <row r="1976" ht="25.8" customHeight="1">
      <c r="B1976" s="41" t="n"/>
      <c r="C1976" s="41" t="n"/>
      <c r="F1976" s="41" t="n"/>
      <c r="H1976" s="41" t="n"/>
    </row>
    <row r="1977" ht="25.8" customHeight="1">
      <c r="B1977" s="41" t="n"/>
      <c r="C1977" s="41" t="n"/>
      <c r="F1977" s="41" t="n"/>
      <c r="H1977" s="41" t="n"/>
    </row>
    <row r="1978" ht="25.8" customHeight="1">
      <c r="B1978" s="41" t="n"/>
      <c r="C1978" s="41" t="n"/>
      <c r="F1978" s="41" t="n"/>
      <c r="H1978" s="41" t="n"/>
    </row>
    <row r="1979" ht="25.8" customHeight="1">
      <c r="B1979" s="41" t="n"/>
      <c r="C1979" s="41" t="n"/>
      <c r="F1979" s="41" t="n"/>
      <c r="H1979" s="41" t="n"/>
    </row>
    <row r="1980" ht="25.8" customHeight="1">
      <c r="B1980" s="41" t="n"/>
      <c r="C1980" s="41" t="n"/>
      <c r="F1980" s="41" t="n"/>
      <c r="H1980" s="41" t="n"/>
    </row>
    <row r="1981" ht="25.8" customHeight="1">
      <c r="B1981" s="41" t="n"/>
      <c r="C1981" s="41" t="n"/>
      <c r="F1981" s="41" t="n"/>
      <c r="H1981" s="41" t="n"/>
    </row>
    <row r="1982" ht="25.8" customHeight="1">
      <c r="B1982" s="41" t="n"/>
      <c r="C1982" s="41" t="n"/>
      <c r="F1982" s="41" t="n"/>
      <c r="H1982" s="41" t="n"/>
    </row>
    <row r="1983" ht="25.8" customHeight="1">
      <c r="B1983" s="41" t="n"/>
      <c r="C1983" s="41" t="n"/>
      <c r="F1983" s="41" t="n"/>
      <c r="H1983" s="41" t="n"/>
    </row>
    <row r="1984" ht="25.8" customHeight="1">
      <c r="B1984" s="41" t="n"/>
      <c r="C1984" s="41" t="n"/>
      <c r="F1984" s="41" t="n"/>
      <c r="H1984" s="41" t="n"/>
    </row>
    <row r="1985" ht="25.8" customHeight="1">
      <c r="B1985" s="41" t="n"/>
      <c r="C1985" s="41" t="n"/>
      <c r="F1985" s="41" t="n"/>
      <c r="H1985" s="41" t="n"/>
    </row>
    <row r="1986" ht="25.8" customHeight="1">
      <c r="B1986" s="41" t="n"/>
      <c r="C1986" s="41" t="n"/>
      <c r="F1986" s="41" t="n"/>
      <c r="H1986" s="41" t="n"/>
    </row>
    <row r="1987" ht="25.8" customHeight="1">
      <c r="B1987" s="41" t="n"/>
      <c r="C1987" s="41" t="n"/>
      <c r="F1987" s="41" t="n"/>
      <c r="H1987" s="41" t="n"/>
    </row>
    <row r="1988" ht="25.8" customHeight="1">
      <c r="B1988" s="41" t="n"/>
      <c r="C1988" s="41" t="n"/>
      <c r="F1988" s="41" t="n"/>
      <c r="H1988" s="41" t="n"/>
    </row>
    <row r="1989" ht="25.8" customHeight="1">
      <c r="B1989" s="41" t="n"/>
      <c r="C1989" s="41" t="n"/>
      <c r="F1989" s="41" t="n"/>
      <c r="H1989" s="41" t="n"/>
    </row>
    <row r="1990" ht="25.8" customHeight="1">
      <c r="B1990" s="41" t="n"/>
      <c r="C1990" s="41" t="n"/>
      <c r="F1990" s="41" t="n"/>
      <c r="H1990" s="41" t="n"/>
    </row>
    <row r="1991" ht="25.8" customHeight="1">
      <c r="B1991" s="41" t="n"/>
      <c r="C1991" s="41" t="n"/>
      <c r="F1991" s="41" t="n"/>
      <c r="H1991" s="41" t="n"/>
    </row>
    <row r="1992" ht="25.8" customHeight="1">
      <c r="B1992" s="41" t="n"/>
      <c r="C1992" s="41" t="n"/>
      <c r="F1992" s="41" t="n"/>
      <c r="H1992" s="41" t="n"/>
    </row>
    <row r="1993" ht="25.8" customHeight="1">
      <c r="B1993" s="41" t="n"/>
      <c r="C1993" s="41" t="n"/>
      <c r="F1993" s="41" t="n"/>
      <c r="H1993" s="41" t="n"/>
    </row>
    <row r="1994" ht="25.8" customHeight="1">
      <c r="B1994" s="41" t="n"/>
      <c r="C1994" s="41" t="n"/>
      <c r="F1994" s="41" t="n"/>
      <c r="H1994" s="41" t="n"/>
    </row>
    <row r="1995" ht="25.8" customHeight="1">
      <c r="B1995" s="41" t="n"/>
      <c r="C1995" s="41" t="n"/>
      <c r="F1995" s="41" t="n"/>
      <c r="H1995" s="41" t="n"/>
    </row>
    <row r="1996" ht="25.8" customHeight="1">
      <c r="B1996" s="41" t="n"/>
      <c r="C1996" s="41" t="n"/>
      <c r="F1996" s="41" t="n"/>
      <c r="H1996" s="41" t="n"/>
    </row>
    <row r="1997" ht="25.8" customHeight="1">
      <c r="B1997" s="41" t="n"/>
      <c r="C1997" s="41" t="n"/>
      <c r="F1997" s="41" t="n"/>
      <c r="H1997" s="41" t="n"/>
    </row>
    <row r="1998" ht="25.8" customHeight="1">
      <c r="B1998" s="41" t="n"/>
      <c r="C1998" s="41" t="n"/>
      <c r="F1998" s="41" t="n"/>
      <c r="H1998" s="41" t="n"/>
    </row>
    <row r="1999" ht="25.8" customHeight="1">
      <c r="B1999" s="41" t="n"/>
      <c r="C1999" s="41" t="n"/>
      <c r="F1999" s="41" t="n"/>
      <c r="H1999" s="41" t="n"/>
    </row>
    <row r="2000" ht="25.8" customHeight="1">
      <c r="B2000" s="41" t="n"/>
      <c r="C2000" s="41" t="n"/>
      <c r="F2000" s="41" t="n"/>
      <c r="H2000" s="41" t="n"/>
    </row>
    <row r="2001" ht="25.8" customHeight="1">
      <c r="B2001" s="41" t="n"/>
      <c r="C2001" s="41" t="n"/>
      <c r="F2001" s="41" t="n"/>
      <c r="H2001" s="41" t="n"/>
    </row>
    <row r="2002" ht="25.8" customHeight="1">
      <c r="B2002" s="41" t="n"/>
      <c r="C2002" s="41" t="n"/>
      <c r="F2002" s="41" t="n"/>
      <c r="H2002" s="41" t="n"/>
    </row>
    <row r="2003" ht="25.8" customHeight="1">
      <c r="B2003" s="41" t="n"/>
      <c r="C2003" s="41" t="n"/>
      <c r="F2003" s="41" t="n"/>
      <c r="H2003" s="41" t="n"/>
    </row>
    <row r="2004" ht="25.8" customHeight="1">
      <c r="B2004" s="41" t="n"/>
      <c r="C2004" s="41" t="n"/>
      <c r="F2004" s="41" t="n"/>
      <c r="H2004" s="41" t="n"/>
    </row>
    <row r="2005" ht="25.8" customHeight="1">
      <c r="B2005" s="41" t="n"/>
      <c r="C2005" s="41" t="n"/>
      <c r="F2005" s="41" t="n"/>
      <c r="H2005" s="41" t="n"/>
    </row>
    <row r="2006" ht="25.8" customHeight="1">
      <c r="B2006" s="41" t="n"/>
      <c r="C2006" s="41" t="n"/>
      <c r="F2006" s="41" t="n"/>
      <c r="H2006" s="41" t="n"/>
    </row>
    <row r="2007" ht="25.8" customHeight="1">
      <c r="B2007" s="41" t="n"/>
      <c r="C2007" s="41" t="n"/>
      <c r="F2007" s="41" t="n"/>
      <c r="H2007" s="41" t="n"/>
    </row>
    <row r="2008" ht="25.8" customHeight="1">
      <c r="B2008" s="41" t="n"/>
      <c r="C2008" s="41" t="n"/>
      <c r="F2008" s="41" t="n"/>
      <c r="H2008" s="41" t="n"/>
    </row>
    <row r="2009" ht="25.8" customHeight="1">
      <c r="B2009" s="41" t="n"/>
      <c r="C2009" s="41" t="n"/>
      <c r="F2009" s="41" t="n"/>
      <c r="H2009" s="41" t="n"/>
    </row>
    <row r="2010" ht="25.8" customHeight="1">
      <c r="B2010" s="41" t="n"/>
      <c r="C2010" s="41" t="n"/>
      <c r="F2010" s="41" t="n"/>
      <c r="H2010" s="41" t="n"/>
    </row>
    <row r="2011" ht="25.8" customHeight="1">
      <c r="B2011" s="41" t="n"/>
      <c r="C2011" s="41" t="n"/>
      <c r="F2011" s="41" t="n"/>
      <c r="H2011" s="41" t="n"/>
    </row>
    <row r="2012" ht="25.8" customHeight="1">
      <c r="B2012" s="41" t="n"/>
      <c r="C2012" s="41" t="n"/>
      <c r="F2012" s="41" t="n"/>
      <c r="H2012" s="41" t="n"/>
    </row>
    <row r="2013" ht="25.8" customHeight="1">
      <c r="B2013" s="41" t="n"/>
      <c r="C2013" s="41" t="n"/>
      <c r="F2013" s="41" t="n"/>
      <c r="H2013" s="41" t="n"/>
    </row>
    <row r="2014" ht="25.8" customHeight="1">
      <c r="B2014" s="41" t="n"/>
      <c r="C2014" s="41" t="n"/>
      <c r="F2014" s="41" t="n"/>
      <c r="H2014" s="41" t="n"/>
    </row>
    <row r="2015" ht="25.8" customHeight="1">
      <c r="B2015" s="41" t="n"/>
      <c r="C2015" s="41" t="n"/>
      <c r="F2015" s="41" t="n"/>
      <c r="H2015" s="41" t="n"/>
    </row>
    <row r="2016" ht="25.8" customHeight="1">
      <c r="B2016" s="41" t="n"/>
      <c r="C2016" s="41" t="n"/>
      <c r="F2016" s="41" t="n"/>
      <c r="H2016" s="41" t="n"/>
    </row>
    <row r="2017" ht="25.8" customHeight="1">
      <c r="B2017" s="41" t="n"/>
      <c r="C2017" s="41" t="n"/>
      <c r="F2017" s="41" t="n"/>
      <c r="H2017" s="41" t="n"/>
    </row>
    <row r="2018" ht="25.8" customHeight="1">
      <c r="B2018" s="41" t="n"/>
      <c r="C2018" s="41" t="n"/>
      <c r="F2018" s="41" t="n"/>
      <c r="H2018" s="41" t="n"/>
    </row>
    <row r="2019" ht="25.8" customHeight="1">
      <c r="B2019" s="41" t="n"/>
      <c r="C2019" s="41" t="n"/>
      <c r="F2019" s="41" t="n"/>
      <c r="H2019" s="41" t="n"/>
    </row>
    <row r="2020" ht="25.8" customHeight="1">
      <c r="B2020" s="41" t="n"/>
      <c r="C2020" s="41" t="n"/>
      <c r="F2020" s="41" t="n"/>
      <c r="H2020" s="41" t="n"/>
    </row>
    <row r="2021" ht="25.8" customHeight="1">
      <c r="B2021" s="41" t="n"/>
      <c r="C2021" s="41" t="n"/>
      <c r="F2021" s="41" t="n"/>
      <c r="H2021" s="41" t="n"/>
    </row>
    <row r="2022" ht="25.8" customHeight="1">
      <c r="B2022" s="41" t="n"/>
      <c r="C2022" s="41" t="n"/>
      <c r="F2022" s="41" t="n"/>
      <c r="H2022" s="41" t="n"/>
    </row>
    <row r="2023" ht="25.8" customHeight="1">
      <c r="B2023" s="41" t="n"/>
      <c r="C2023" s="41" t="n"/>
      <c r="F2023" s="41" t="n"/>
      <c r="H2023" s="41" t="n"/>
    </row>
    <row r="2024" ht="25.8" customHeight="1">
      <c r="B2024" s="41" t="n"/>
      <c r="C2024" s="41" t="n"/>
      <c r="F2024" s="41" t="n"/>
      <c r="H2024" s="41" t="n"/>
    </row>
    <row r="2025" ht="25.8" customHeight="1">
      <c r="B2025" s="41" t="n"/>
      <c r="C2025" s="41" t="n"/>
      <c r="F2025" s="41" t="n"/>
      <c r="H2025" s="41" t="n"/>
    </row>
    <row r="2026" ht="25.8" customHeight="1">
      <c r="B2026" s="41" t="n"/>
      <c r="C2026" s="41" t="n"/>
      <c r="F2026" s="41" t="n"/>
      <c r="H2026" s="41" t="n"/>
    </row>
    <row r="2027" ht="25.8" customHeight="1">
      <c r="B2027" s="41" t="n"/>
      <c r="C2027" s="41" t="n"/>
      <c r="F2027" s="41" t="n"/>
      <c r="H2027" s="41" t="n"/>
    </row>
    <row r="2028" ht="25.8" customHeight="1">
      <c r="B2028" s="41" t="n"/>
      <c r="C2028" s="41" t="n"/>
      <c r="F2028" s="41" t="n"/>
      <c r="H2028" s="41" t="n"/>
    </row>
    <row r="2029" ht="25.8" customHeight="1">
      <c r="B2029" s="41" t="n"/>
      <c r="C2029" s="41" t="n"/>
      <c r="F2029" s="41" t="n"/>
      <c r="H2029" s="41" t="n"/>
    </row>
    <row r="2030" ht="25.8" customHeight="1">
      <c r="B2030" s="41" t="n"/>
      <c r="C2030" s="41" t="n"/>
      <c r="F2030" s="41" t="n"/>
      <c r="H2030" s="41" t="n"/>
    </row>
    <row r="2031" ht="25.8" customHeight="1">
      <c r="B2031" s="41" t="n"/>
      <c r="C2031" s="41" t="n"/>
      <c r="F2031" s="41" t="n"/>
      <c r="H2031" s="41" t="n"/>
    </row>
    <row r="2032" ht="25.8" customHeight="1">
      <c r="B2032" s="41" t="n"/>
      <c r="C2032" s="41" t="n"/>
      <c r="F2032" s="41" t="n"/>
      <c r="H2032" s="41" t="n"/>
    </row>
    <row r="2033" ht="25.8" customHeight="1">
      <c r="B2033" s="41" t="n"/>
      <c r="C2033" s="41" t="n"/>
      <c r="F2033" s="41" t="n"/>
      <c r="H2033" s="41" t="n"/>
    </row>
    <row r="2034" ht="25.8" customHeight="1">
      <c r="B2034" s="41" t="n"/>
      <c r="C2034" s="41" t="n"/>
      <c r="F2034" s="41" t="n"/>
      <c r="H2034" s="41" t="n"/>
    </row>
    <row r="2035" ht="25.8" customHeight="1">
      <c r="B2035" s="41" t="n"/>
      <c r="C2035" s="41" t="n"/>
      <c r="F2035" s="41" t="n"/>
      <c r="H2035" s="41" t="n"/>
    </row>
    <row r="2036" ht="25.8" customHeight="1">
      <c r="B2036" s="41" t="n"/>
      <c r="C2036" s="41" t="n"/>
      <c r="F2036" s="41" t="n"/>
      <c r="H2036" s="41" t="n"/>
    </row>
    <row r="2037" ht="25.8" customHeight="1">
      <c r="B2037" s="41" t="n"/>
      <c r="C2037" s="41" t="n"/>
      <c r="F2037" s="41" t="n"/>
      <c r="H2037" s="41" t="n"/>
    </row>
    <row r="2038" ht="25.8" customHeight="1">
      <c r="B2038" s="41" t="n"/>
      <c r="C2038" s="41" t="n"/>
      <c r="F2038" s="41" t="n"/>
      <c r="H2038" s="41" t="n"/>
    </row>
    <row r="2039" ht="25.8" customHeight="1">
      <c r="B2039" s="41" t="n"/>
      <c r="C2039" s="41" t="n"/>
      <c r="F2039" s="41" t="n"/>
      <c r="H2039" s="41" t="n"/>
    </row>
    <row r="2040" ht="25.8" customHeight="1">
      <c r="B2040" s="41" t="n"/>
      <c r="C2040" s="41" t="n"/>
      <c r="F2040" s="41" t="n"/>
      <c r="H2040" s="41" t="n"/>
    </row>
    <row r="2041" ht="25.8" customHeight="1">
      <c r="B2041" s="41" t="n"/>
      <c r="C2041" s="41" t="n"/>
      <c r="F2041" s="41" t="n"/>
      <c r="H2041" s="41" t="n"/>
    </row>
    <row r="2042" ht="25.8" customHeight="1">
      <c r="B2042" s="41" t="n"/>
      <c r="C2042" s="41" t="n"/>
      <c r="F2042" s="41" t="n"/>
      <c r="H2042" s="41" t="n"/>
    </row>
    <row r="2043" ht="25.8" customHeight="1">
      <c r="B2043" s="41" t="n"/>
      <c r="C2043" s="41" t="n"/>
      <c r="F2043" s="41" t="n"/>
      <c r="H2043" s="41" t="n"/>
    </row>
    <row r="2044" ht="25.8" customHeight="1">
      <c r="B2044" s="41" t="n"/>
      <c r="C2044" s="41" t="n"/>
      <c r="F2044" s="41" t="n"/>
      <c r="H2044" s="41" t="n"/>
    </row>
    <row r="2045" ht="25.8" customHeight="1">
      <c r="B2045" s="41" t="n"/>
      <c r="C2045" s="41" t="n"/>
      <c r="F2045" s="41" t="n"/>
      <c r="H2045" s="41" t="n"/>
    </row>
    <row r="2046" ht="25.8" customHeight="1">
      <c r="B2046" s="41" t="n"/>
      <c r="C2046" s="41" t="n"/>
      <c r="F2046" s="41" t="n"/>
      <c r="H2046" s="41" t="n"/>
    </row>
    <row r="2047" ht="25.8" customHeight="1">
      <c r="B2047" s="41" t="n"/>
      <c r="C2047" s="41" t="n"/>
      <c r="F2047" s="41" t="n"/>
      <c r="H2047" s="41" t="n"/>
    </row>
    <row r="2048" ht="25.8" customHeight="1">
      <c r="B2048" s="41" t="n"/>
      <c r="C2048" s="41" t="n"/>
      <c r="F2048" s="41" t="n"/>
      <c r="H2048" s="41" t="n"/>
    </row>
    <row r="2049" ht="25.8" customHeight="1">
      <c r="B2049" s="41" t="n"/>
      <c r="C2049" s="41" t="n"/>
      <c r="F2049" s="41" t="n"/>
      <c r="H2049" s="41" t="n"/>
    </row>
    <row r="2050" ht="25.8" customHeight="1">
      <c r="B2050" s="41" t="n"/>
      <c r="C2050" s="41" t="n"/>
      <c r="F2050" s="41" t="n"/>
      <c r="H2050" s="41" t="n"/>
    </row>
    <row r="2051" ht="25.8" customHeight="1">
      <c r="B2051" s="41" t="n"/>
      <c r="C2051" s="41" t="n"/>
      <c r="F2051" s="41" t="n"/>
      <c r="H2051" s="41" t="n"/>
    </row>
    <row r="2052" ht="25.8" customHeight="1">
      <c r="B2052" s="41" t="n"/>
      <c r="C2052" s="41" t="n"/>
      <c r="F2052" s="41" t="n"/>
      <c r="H2052" s="41" t="n"/>
    </row>
    <row r="2053" ht="25.8" customHeight="1">
      <c r="B2053" s="41" t="n"/>
      <c r="C2053" s="41" t="n"/>
      <c r="F2053" s="41" t="n"/>
      <c r="H2053" s="41" t="n"/>
    </row>
    <row r="2054" ht="25.8" customHeight="1">
      <c r="B2054" s="41" t="n"/>
      <c r="C2054" s="41" t="n"/>
      <c r="F2054" s="41" t="n"/>
      <c r="H2054" s="41" t="n"/>
    </row>
    <row r="2055" ht="25.8" customHeight="1">
      <c r="B2055" s="41" t="n"/>
      <c r="C2055" s="41" t="n"/>
      <c r="F2055" s="41" t="n"/>
      <c r="H2055" s="41" t="n"/>
    </row>
    <row r="2056" ht="25.8" customHeight="1">
      <c r="B2056" s="41" t="n"/>
      <c r="C2056" s="41" t="n"/>
      <c r="F2056" s="41" t="n"/>
      <c r="H2056" s="41" t="n"/>
    </row>
    <row r="2057" ht="25.8" customHeight="1">
      <c r="B2057" s="41" t="n"/>
      <c r="C2057" s="41" t="n"/>
      <c r="F2057" s="41" t="n"/>
      <c r="H2057" s="41" t="n"/>
    </row>
    <row r="2058" ht="25.8" customHeight="1">
      <c r="B2058" s="41" t="n"/>
      <c r="C2058" s="41" t="n"/>
      <c r="F2058" s="41" t="n"/>
      <c r="H2058" s="41" t="n"/>
    </row>
    <row r="2059" ht="25.8" customHeight="1">
      <c r="B2059" s="41" t="n"/>
      <c r="C2059" s="41" t="n"/>
      <c r="F2059" s="41" t="n"/>
      <c r="H2059" s="41" t="n"/>
    </row>
    <row r="2060" ht="25.8" customHeight="1">
      <c r="B2060" s="41" t="n"/>
      <c r="C2060" s="41" t="n"/>
      <c r="F2060" s="41" t="n"/>
      <c r="H2060" s="41" t="n"/>
    </row>
    <row r="2061" ht="25.8" customHeight="1">
      <c r="B2061" s="41" t="n"/>
      <c r="C2061" s="41" t="n"/>
      <c r="F2061" s="41" t="n"/>
      <c r="H2061" s="41" t="n"/>
    </row>
    <row r="2062" ht="25.8" customHeight="1">
      <c r="B2062" s="41" t="n"/>
      <c r="C2062" s="41" t="n"/>
      <c r="F2062" s="41" t="n"/>
      <c r="H2062" s="41" t="n"/>
    </row>
    <row r="2063" ht="25.8" customHeight="1">
      <c r="B2063" s="41" t="n"/>
      <c r="C2063" s="41" t="n"/>
      <c r="F2063" s="41" t="n"/>
      <c r="H2063" s="41" t="n"/>
    </row>
    <row r="2064" ht="25.8" customHeight="1">
      <c r="B2064" s="41" t="n"/>
      <c r="C2064" s="41" t="n"/>
      <c r="F2064" s="41" t="n"/>
      <c r="H2064" s="41" t="n"/>
    </row>
    <row r="2065" ht="25.8" customHeight="1">
      <c r="B2065" s="41" t="n"/>
      <c r="C2065" s="41" t="n"/>
      <c r="F2065" s="41" t="n"/>
      <c r="H2065" s="41" t="n"/>
    </row>
    <row r="2066" ht="25.8" customHeight="1">
      <c r="B2066" s="41" t="n"/>
      <c r="C2066" s="41" t="n"/>
      <c r="F2066" s="41" t="n"/>
      <c r="H2066" s="41" t="n"/>
    </row>
    <row r="2067" ht="25.8" customHeight="1">
      <c r="B2067" s="41" t="n"/>
      <c r="C2067" s="41" t="n"/>
      <c r="F2067" s="41" t="n"/>
      <c r="H2067" s="41" t="n"/>
    </row>
    <row r="2068" ht="25.8" customHeight="1">
      <c r="B2068" s="41" t="n"/>
      <c r="C2068" s="41" t="n"/>
      <c r="F2068" s="41" t="n"/>
      <c r="H2068" s="41" t="n"/>
    </row>
    <row r="2069" ht="25.8" customHeight="1">
      <c r="B2069" s="41" t="n"/>
      <c r="C2069" s="41" t="n"/>
      <c r="F2069" s="41" t="n"/>
      <c r="H2069" s="41" t="n"/>
    </row>
    <row r="2070" ht="25.8" customHeight="1">
      <c r="B2070" s="41" t="n"/>
      <c r="C2070" s="41" t="n"/>
      <c r="F2070" s="41" t="n"/>
      <c r="H2070" s="41" t="n"/>
    </row>
    <row r="2071" ht="25.8" customHeight="1">
      <c r="B2071" s="41" t="n"/>
      <c r="C2071" s="41" t="n"/>
      <c r="F2071" s="41" t="n"/>
      <c r="H2071" s="41" t="n"/>
    </row>
    <row r="2072" ht="25.8" customHeight="1">
      <c r="B2072" s="41" t="n"/>
      <c r="C2072" s="41" t="n"/>
      <c r="F2072" s="41" t="n"/>
      <c r="H2072" s="41" t="n"/>
    </row>
    <row r="2073" ht="25.8" customHeight="1">
      <c r="B2073" s="41" t="n"/>
      <c r="C2073" s="41" t="n"/>
      <c r="F2073" s="41" t="n"/>
      <c r="H2073" s="41" t="n"/>
    </row>
    <row r="2074" ht="25.8" customHeight="1">
      <c r="B2074" s="41" t="n"/>
      <c r="C2074" s="41" t="n"/>
      <c r="F2074" s="41" t="n"/>
      <c r="H2074" s="41" t="n"/>
    </row>
    <row r="2075" ht="25.8" customHeight="1">
      <c r="B2075" s="41" t="n"/>
      <c r="C2075" s="41" t="n"/>
      <c r="F2075" s="41" t="n"/>
      <c r="H2075" s="41" t="n"/>
    </row>
    <row r="2076" ht="25.8" customHeight="1">
      <c r="B2076" s="41" t="n"/>
      <c r="C2076" s="41" t="n"/>
      <c r="F2076" s="41" t="n"/>
      <c r="H2076" s="41" t="n"/>
    </row>
    <row r="2077" ht="25.8" customHeight="1">
      <c r="B2077" s="41" t="n"/>
      <c r="C2077" s="41" t="n"/>
      <c r="F2077" s="41" t="n"/>
      <c r="H2077" s="41" t="n"/>
    </row>
    <row r="2078" ht="25.8" customHeight="1">
      <c r="B2078" s="41" t="n"/>
      <c r="C2078" s="41" t="n"/>
      <c r="F2078" s="41" t="n"/>
      <c r="H2078" s="41" t="n"/>
    </row>
    <row r="2079" ht="25.8" customHeight="1">
      <c r="B2079" s="41" t="n"/>
      <c r="C2079" s="41" t="n"/>
      <c r="F2079" s="41" t="n"/>
      <c r="H2079" s="41" t="n"/>
    </row>
    <row r="2080" ht="25.8" customHeight="1">
      <c r="B2080" s="41" t="n"/>
      <c r="C2080" s="41" t="n"/>
      <c r="F2080" s="41" t="n"/>
      <c r="H2080" s="41" t="n"/>
    </row>
    <row r="2081" ht="25.8" customHeight="1">
      <c r="B2081" s="41" t="n"/>
      <c r="C2081" s="41" t="n"/>
      <c r="F2081" s="41" t="n"/>
      <c r="H2081" s="41" t="n"/>
    </row>
    <row r="2082" ht="25.8" customHeight="1">
      <c r="B2082" s="41" t="n"/>
      <c r="C2082" s="41" t="n"/>
      <c r="F2082" s="41" t="n"/>
      <c r="H2082" s="41" t="n"/>
    </row>
    <row r="2083" ht="25.8" customHeight="1">
      <c r="B2083" s="41" t="n"/>
      <c r="C2083" s="41" t="n"/>
      <c r="F2083" s="41" t="n"/>
      <c r="H2083" s="41" t="n"/>
    </row>
    <row r="2084" ht="25.8" customHeight="1">
      <c r="B2084" s="41" t="n"/>
      <c r="C2084" s="41" t="n"/>
      <c r="F2084" s="41" t="n"/>
      <c r="H2084" s="41" t="n"/>
    </row>
    <row r="2085" ht="25.8" customHeight="1">
      <c r="B2085" s="41" t="n"/>
      <c r="C2085" s="41" t="n"/>
      <c r="F2085" s="41" t="n"/>
      <c r="H2085" s="41" t="n"/>
    </row>
    <row r="2086" ht="25.8" customHeight="1">
      <c r="B2086" s="41" t="n"/>
      <c r="C2086" s="41" t="n"/>
      <c r="F2086" s="41" t="n"/>
      <c r="H2086" s="41" t="n"/>
    </row>
    <row r="2087" ht="25.8" customHeight="1">
      <c r="B2087" s="41" t="n"/>
      <c r="C2087" s="41" t="n"/>
      <c r="F2087" s="41" t="n"/>
      <c r="H2087" s="41" t="n"/>
    </row>
    <row r="2088" ht="25.8" customHeight="1">
      <c r="B2088" s="41" t="n"/>
      <c r="C2088" s="41" t="n"/>
      <c r="F2088" s="41" t="n"/>
      <c r="H2088" s="41" t="n"/>
    </row>
    <row r="2089" ht="25.8" customHeight="1">
      <c r="B2089" s="41" t="n"/>
      <c r="C2089" s="41" t="n"/>
      <c r="F2089" s="41" t="n"/>
      <c r="H2089" s="41" t="n"/>
    </row>
    <row r="2090" ht="25.8" customHeight="1">
      <c r="B2090" s="41" t="n"/>
      <c r="C2090" s="41" t="n"/>
      <c r="F2090" s="41" t="n"/>
      <c r="H2090" s="41" t="n"/>
    </row>
    <row r="2091" ht="25.8" customHeight="1">
      <c r="B2091" s="41" t="n"/>
      <c r="C2091" s="41" t="n"/>
      <c r="F2091" s="41" t="n"/>
      <c r="H2091" s="41" t="n"/>
    </row>
    <row r="2092" ht="25.8" customHeight="1">
      <c r="B2092" s="41" t="n"/>
      <c r="C2092" s="41" t="n"/>
      <c r="F2092" s="41" t="n"/>
      <c r="H2092" s="41" t="n"/>
    </row>
    <row r="2093" ht="25.8" customHeight="1">
      <c r="B2093" s="41" t="n"/>
      <c r="C2093" s="41" t="n"/>
      <c r="F2093" s="41" t="n"/>
      <c r="H2093" s="41" t="n"/>
    </row>
    <row r="2094" ht="25.8" customHeight="1">
      <c r="B2094" s="41" t="n"/>
      <c r="C2094" s="41" t="n"/>
      <c r="F2094" s="41" t="n"/>
      <c r="H2094" s="41" t="n"/>
    </row>
    <row r="2095" ht="25.8" customHeight="1">
      <c r="B2095" s="41" t="n"/>
      <c r="C2095" s="41" t="n"/>
      <c r="F2095" s="41" t="n"/>
      <c r="H2095" s="41" t="n"/>
    </row>
    <row r="2096" ht="25.8" customHeight="1">
      <c r="B2096" s="41" t="n"/>
      <c r="C2096" s="41" t="n"/>
      <c r="F2096" s="41" t="n"/>
      <c r="H2096" s="41" t="n"/>
    </row>
    <row r="2097" ht="25.8" customHeight="1">
      <c r="B2097" s="41" t="n"/>
      <c r="C2097" s="41" t="n"/>
      <c r="F2097" s="41" t="n"/>
      <c r="H2097" s="41" t="n"/>
    </row>
    <row r="2098" ht="25.8" customHeight="1">
      <c r="B2098" s="41" t="n"/>
      <c r="C2098" s="41" t="n"/>
      <c r="F2098" s="41" t="n"/>
      <c r="H2098" s="41" t="n"/>
    </row>
    <row r="2099" ht="25.8" customHeight="1">
      <c r="B2099" s="41" t="n"/>
      <c r="C2099" s="41" t="n"/>
      <c r="F2099" s="41" t="n"/>
      <c r="H2099" s="41" t="n"/>
    </row>
    <row r="2100" ht="25.8" customHeight="1">
      <c r="B2100" s="41" t="n"/>
      <c r="C2100" s="41" t="n"/>
      <c r="F2100" s="41" t="n"/>
      <c r="H2100" s="41" t="n"/>
    </row>
    <row r="2101" ht="25.8" customHeight="1">
      <c r="B2101" s="41" t="n"/>
      <c r="C2101" s="41" t="n"/>
      <c r="F2101" s="41" t="n"/>
      <c r="H2101" s="41" t="n"/>
    </row>
    <row r="2102" ht="25.8" customHeight="1">
      <c r="B2102" s="41" t="n"/>
      <c r="C2102" s="41" t="n"/>
      <c r="F2102" s="41" t="n"/>
      <c r="H2102" s="41" t="n"/>
    </row>
    <row r="2103" ht="25.8" customHeight="1">
      <c r="B2103" s="41" t="n"/>
      <c r="C2103" s="41" t="n"/>
      <c r="F2103" s="41" t="n"/>
      <c r="H2103" s="41" t="n"/>
    </row>
    <row r="2104" ht="25.8" customHeight="1">
      <c r="B2104" s="41" t="n"/>
      <c r="C2104" s="41" t="n"/>
      <c r="F2104" s="41" t="n"/>
      <c r="H2104" s="41" t="n"/>
    </row>
    <row r="2105" ht="25.8" customHeight="1">
      <c r="B2105" s="41" t="n"/>
      <c r="C2105" s="41" t="n"/>
      <c r="F2105" s="41" t="n"/>
      <c r="H2105" s="41" t="n"/>
    </row>
    <row r="2106" ht="25.8" customHeight="1">
      <c r="B2106" s="41" t="n"/>
      <c r="C2106" s="41" t="n"/>
      <c r="F2106" s="41" t="n"/>
      <c r="H2106" s="41" t="n"/>
    </row>
    <row r="2107" ht="25.8" customHeight="1">
      <c r="B2107" s="41" t="n"/>
      <c r="C2107" s="41" t="n"/>
      <c r="F2107" s="41" t="n"/>
      <c r="H2107" s="41" t="n"/>
    </row>
    <row r="2108" ht="25.8" customHeight="1">
      <c r="B2108" s="41" t="n"/>
      <c r="C2108" s="41" t="n"/>
      <c r="F2108" s="41" t="n"/>
      <c r="H2108" s="41" t="n"/>
    </row>
    <row r="2109" ht="25.8" customHeight="1">
      <c r="B2109" s="41" t="n"/>
      <c r="C2109" s="41" t="n"/>
      <c r="F2109" s="41" t="n"/>
      <c r="H2109" s="41" t="n"/>
    </row>
    <row r="2110" ht="25.8" customHeight="1">
      <c r="B2110" s="41" t="n"/>
      <c r="C2110" s="41" t="n"/>
      <c r="F2110" s="41" t="n"/>
      <c r="H2110" s="41" t="n"/>
    </row>
    <row r="2111" ht="25.8" customHeight="1">
      <c r="B2111" s="41" t="n"/>
      <c r="C2111" s="41" t="n"/>
      <c r="F2111" s="41" t="n"/>
      <c r="H2111" s="41" t="n"/>
    </row>
    <row r="2112" ht="25.8" customHeight="1">
      <c r="B2112" s="41" t="n"/>
      <c r="C2112" s="41" t="n"/>
      <c r="F2112" s="41" t="n"/>
      <c r="H2112" s="41" t="n"/>
    </row>
    <row r="2113" ht="25.8" customHeight="1">
      <c r="B2113" s="41" t="n"/>
      <c r="C2113" s="41" t="n"/>
      <c r="F2113" s="41" t="n"/>
      <c r="H2113" s="41" t="n"/>
    </row>
    <row r="2114" ht="25.8" customHeight="1">
      <c r="B2114" s="41" t="n"/>
      <c r="C2114" s="41" t="n"/>
      <c r="F2114" s="41" t="n"/>
      <c r="H2114" s="41" t="n"/>
    </row>
    <row r="2115" ht="25.8" customHeight="1">
      <c r="B2115" s="41" t="n"/>
      <c r="C2115" s="41" t="n"/>
      <c r="F2115" s="41" t="n"/>
      <c r="H2115" s="41" t="n"/>
    </row>
    <row r="2116" ht="25.8" customHeight="1">
      <c r="B2116" s="41" t="n"/>
      <c r="C2116" s="41" t="n"/>
      <c r="F2116" s="41" t="n"/>
      <c r="H2116" s="41" t="n"/>
    </row>
    <row r="2117" ht="25.8" customHeight="1">
      <c r="B2117" s="41" t="n"/>
      <c r="C2117" s="41" t="n"/>
      <c r="F2117" s="41" t="n"/>
      <c r="H2117" s="41" t="n"/>
    </row>
    <row r="2118" ht="25.8" customHeight="1">
      <c r="B2118" s="41" t="n"/>
      <c r="C2118" s="41" t="n"/>
      <c r="F2118" s="41" t="n"/>
      <c r="H2118" s="41" t="n"/>
    </row>
    <row r="2119" ht="25.8" customHeight="1">
      <c r="B2119" s="41" t="n"/>
      <c r="C2119" s="41" t="n"/>
      <c r="F2119" s="41" t="n"/>
      <c r="H2119" s="41" t="n"/>
    </row>
    <row r="2120" ht="25.8" customHeight="1">
      <c r="B2120" s="41" t="n"/>
      <c r="C2120" s="41" t="n"/>
      <c r="F2120" s="41" t="n"/>
      <c r="H2120" s="41" t="n"/>
    </row>
    <row r="2121" ht="25.8" customHeight="1">
      <c r="B2121" s="41" t="n"/>
      <c r="C2121" s="41" t="n"/>
      <c r="F2121" s="41" t="n"/>
      <c r="H2121" s="41" t="n"/>
    </row>
    <row r="2122" ht="25.8" customHeight="1">
      <c r="B2122" s="41" t="n"/>
      <c r="C2122" s="41" t="n"/>
      <c r="F2122" s="41" t="n"/>
      <c r="H2122" s="41" t="n"/>
    </row>
    <row r="2123" ht="25.8" customHeight="1">
      <c r="B2123" s="41" t="n"/>
      <c r="C2123" s="41" t="n"/>
      <c r="F2123" s="41" t="n"/>
      <c r="H2123" s="41" t="n"/>
    </row>
    <row r="2124" ht="25.8" customHeight="1">
      <c r="B2124" s="41" t="n"/>
      <c r="C2124" s="41" t="n"/>
      <c r="F2124" s="41" t="n"/>
      <c r="H2124" s="41" t="n"/>
    </row>
    <row r="2125" ht="25.8" customHeight="1">
      <c r="B2125" s="41" t="n"/>
      <c r="C2125" s="41" t="n"/>
      <c r="F2125" s="41" t="n"/>
      <c r="H2125" s="41" t="n"/>
    </row>
    <row r="2126" ht="25.8" customHeight="1">
      <c r="B2126" s="41" t="n"/>
      <c r="C2126" s="41" t="n"/>
      <c r="F2126" s="41" t="n"/>
      <c r="H2126" s="41" t="n"/>
    </row>
    <row r="2127" ht="25.8" customHeight="1">
      <c r="B2127" s="41" t="n"/>
      <c r="C2127" s="41" t="n"/>
      <c r="F2127" s="41" t="n"/>
      <c r="H2127" s="41" t="n"/>
    </row>
    <row r="2128" ht="25.8" customHeight="1">
      <c r="B2128" s="41" t="n"/>
      <c r="C2128" s="41" t="n"/>
      <c r="F2128" s="41" t="n"/>
      <c r="H2128" s="41" t="n"/>
    </row>
    <row r="2129" ht="25.8" customHeight="1">
      <c r="B2129" s="41" t="n"/>
      <c r="C2129" s="41" t="n"/>
      <c r="F2129" s="41" t="n"/>
      <c r="H2129" s="41" t="n"/>
    </row>
    <row r="2130" ht="25.8" customHeight="1">
      <c r="B2130" s="41" t="n"/>
      <c r="C2130" s="41" t="n"/>
      <c r="F2130" s="41" t="n"/>
      <c r="H2130" s="41" t="n"/>
    </row>
    <row r="2131" ht="25.8" customHeight="1">
      <c r="B2131" s="41" t="n"/>
      <c r="C2131" s="41" t="n"/>
      <c r="F2131" s="41" t="n"/>
      <c r="H2131" s="41" t="n"/>
    </row>
    <row r="2132" ht="25.8" customHeight="1">
      <c r="B2132" s="41" t="n"/>
      <c r="C2132" s="41" t="n"/>
      <c r="F2132" s="41" t="n"/>
      <c r="H2132" s="41" t="n"/>
    </row>
    <row r="2133" ht="25.8" customHeight="1">
      <c r="B2133" s="41" t="n"/>
      <c r="C2133" s="41" t="n"/>
      <c r="F2133" s="41" t="n"/>
      <c r="H2133" s="41" t="n"/>
    </row>
    <row r="2134" ht="25.8" customHeight="1">
      <c r="B2134" s="41" t="n"/>
      <c r="C2134" s="41" t="n"/>
      <c r="F2134" s="41" t="n"/>
      <c r="H2134" s="41" t="n"/>
    </row>
    <row r="2135" ht="25.8" customHeight="1">
      <c r="B2135" s="41" t="n"/>
      <c r="C2135" s="41" t="n"/>
      <c r="F2135" s="41" t="n"/>
      <c r="H2135" s="41" t="n"/>
    </row>
    <row r="2136" ht="25.8" customHeight="1">
      <c r="B2136" s="41" t="n"/>
      <c r="C2136" s="41" t="n"/>
      <c r="F2136" s="41" t="n"/>
      <c r="H2136" s="41" t="n"/>
    </row>
    <row r="2137" ht="25.8" customHeight="1">
      <c r="B2137" s="41" t="n"/>
      <c r="C2137" s="41" t="n"/>
      <c r="F2137" s="41" t="n"/>
      <c r="H2137" s="41" t="n"/>
    </row>
    <row r="2138" ht="25.8" customHeight="1">
      <c r="B2138" s="41" t="n"/>
      <c r="C2138" s="41" t="n"/>
      <c r="F2138" s="41" t="n"/>
      <c r="H2138" s="41" t="n"/>
    </row>
    <row r="2139" ht="25.8" customHeight="1">
      <c r="B2139" s="41" t="n"/>
      <c r="C2139" s="41" t="n"/>
      <c r="F2139" s="41" t="n"/>
      <c r="H2139" s="41" t="n"/>
    </row>
    <row r="2140" ht="25.8" customHeight="1">
      <c r="B2140" s="41" t="n"/>
      <c r="C2140" s="41" t="n"/>
      <c r="F2140" s="41" t="n"/>
      <c r="H2140" s="41" t="n"/>
    </row>
    <row r="2141" ht="25.8" customHeight="1">
      <c r="B2141" s="41" t="n"/>
      <c r="C2141" s="41" t="n"/>
      <c r="F2141" s="41" t="n"/>
      <c r="H2141" s="41" t="n"/>
    </row>
    <row r="2142" ht="25.8" customHeight="1">
      <c r="B2142" s="41" t="n"/>
      <c r="C2142" s="41" t="n"/>
      <c r="F2142" s="41" t="n"/>
      <c r="H2142" s="41" t="n"/>
    </row>
    <row r="2143" ht="25.8" customHeight="1">
      <c r="B2143" s="41" t="n"/>
      <c r="C2143" s="41" t="n"/>
      <c r="F2143" s="41" t="n"/>
      <c r="H2143" s="41" t="n"/>
    </row>
    <row r="2144" ht="25.8" customHeight="1">
      <c r="B2144" s="41" t="n"/>
      <c r="C2144" s="41" t="n"/>
      <c r="F2144" s="41" t="n"/>
      <c r="H2144" s="41" t="n"/>
    </row>
    <row r="2145" ht="25.8" customHeight="1">
      <c r="B2145" s="41" t="n"/>
      <c r="C2145" s="41" t="n"/>
      <c r="F2145" s="41" t="n"/>
      <c r="H2145" s="41" t="n"/>
    </row>
    <row r="2146" ht="25.8" customHeight="1">
      <c r="B2146" s="41" t="n"/>
      <c r="C2146" s="41" t="n"/>
      <c r="F2146" s="41" t="n"/>
      <c r="H2146" s="41" t="n"/>
    </row>
    <row r="2147" ht="25.8" customHeight="1">
      <c r="B2147" s="41" t="n"/>
      <c r="C2147" s="41" t="n"/>
      <c r="F2147" s="41" t="n"/>
      <c r="H2147" s="41" t="n"/>
    </row>
    <row r="2148" ht="25.8" customHeight="1">
      <c r="B2148" s="41" t="n"/>
      <c r="C2148" s="41" t="n"/>
      <c r="F2148" s="41" t="n"/>
      <c r="H2148" s="41" t="n"/>
    </row>
    <row r="2149" ht="25.8" customHeight="1">
      <c r="B2149" s="41" t="n"/>
      <c r="C2149" s="41" t="n"/>
      <c r="F2149" s="41" t="n"/>
      <c r="H2149" s="41" t="n"/>
    </row>
    <row r="2150" ht="25.8" customHeight="1">
      <c r="B2150" s="41" t="n"/>
      <c r="C2150" s="41" t="n"/>
      <c r="F2150" s="41" t="n"/>
      <c r="H2150" s="41" t="n"/>
    </row>
    <row r="2151" ht="25.8" customHeight="1">
      <c r="B2151" s="41" t="n"/>
      <c r="C2151" s="41" t="n"/>
      <c r="F2151" s="41" t="n"/>
      <c r="H2151" s="41" t="n"/>
    </row>
    <row r="2152" ht="25.8" customHeight="1">
      <c r="B2152" s="41" t="n"/>
      <c r="C2152" s="41" t="n"/>
      <c r="F2152" s="41" t="n"/>
      <c r="H2152" s="41" t="n"/>
    </row>
    <row r="2153" ht="25.8" customHeight="1">
      <c r="B2153" s="41" t="n"/>
      <c r="C2153" s="41" t="n"/>
      <c r="F2153" s="41" t="n"/>
      <c r="H2153" s="41" t="n"/>
    </row>
    <row r="2154" ht="25.8" customHeight="1">
      <c r="B2154" s="41" t="n"/>
      <c r="C2154" s="41" t="n"/>
      <c r="F2154" s="41" t="n"/>
      <c r="H2154" s="41" t="n"/>
    </row>
    <row r="2155" ht="25.8" customHeight="1">
      <c r="B2155" s="41" t="n"/>
      <c r="C2155" s="41" t="n"/>
      <c r="F2155" s="41" t="n"/>
      <c r="H2155" s="41" t="n"/>
    </row>
    <row r="2156" ht="25.8" customHeight="1">
      <c r="B2156" s="41" t="n"/>
      <c r="C2156" s="41" t="n"/>
      <c r="F2156" s="41" t="n"/>
      <c r="H2156" s="41" t="n"/>
    </row>
    <row r="2157" ht="25.8" customHeight="1">
      <c r="B2157" s="41" t="n"/>
      <c r="C2157" s="41" t="n"/>
      <c r="F2157" s="41" t="n"/>
      <c r="H2157" s="41" t="n"/>
    </row>
    <row r="2158" ht="25.8" customHeight="1">
      <c r="B2158" s="41" t="n"/>
      <c r="C2158" s="41" t="n"/>
      <c r="F2158" s="41" t="n"/>
      <c r="H2158" s="41" t="n"/>
    </row>
    <row r="2159" ht="25.8" customHeight="1">
      <c r="B2159" s="41" t="n"/>
      <c r="C2159" s="41" t="n"/>
      <c r="F2159" s="41" t="n"/>
      <c r="H2159" s="41" t="n"/>
    </row>
    <row r="2160" ht="25.8" customHeight="1">
      <c r="B2160" s="41" t="n"/>
      <c r="C2160" s="41" t="n"/>
      <c r="F2160" s="41" t="n"/>
      <c r="H2160" s="41" t="n"/>
    </row>
    <row r="2161" ht="25.8" customHeight="1">
      <c r="B2161" s="41" t="n"/>
      <c r="C2161" s="41" t="n"/>
      <c r="F2161" s="41" t="n"/>
      <c r="H2161" s="41" t="n"/>
    </row>
    <row r="2162" ht="25.8" customHeight="1">
      <c r="B2162" s="41" t="n"/>
      <c r="C2162" s="41" t="n"/>
      <c r="F2162" s="41" t="n"/>
      <c r="H2162" s="41" t="n"/>
    </row>
    <row r="2163" ht="25.8" customHeight="1">
      <c r="B2163" s="41" t="n"/>
      <c r="C2163" s="41" t="n"/>
      <c r="F2163" s="41" t="n"/>
      <c r="H2163" s="41" t="n"/>
    </row>
    <row r="2164" ht="25.8" customHeight="1">
      <c r="B2164" s="41" t="n"/>
      <c r="C2164" s="41" t="n"/>
      <c r="F2164" s="41" t="n"/>
      <c r="H2164" s="41" t="n"/>
    </row>
    <row r="2165" ht="25.8" customHeight="1">
      <c r="B2165" s="41" t="n"/>
      <c r="C2165" s="41" t="n"/>
      <c r="F2165" s="41" t="n"/>
      <c r="H2165" s="41" t="n"/>
    </row>
    <row r="2166" ht="25.8" customHeight="1">
      <c r="B2166" s="41" t="n"/>
      <c r="C2166" s="41" t="n"/>
      <c r="F2166" s="41" t="n"/>
      <c r="H2166" s="41" t="n"/>
    </row>
    <row r="2167" ht="25.8" customHeight="1">
      <c r="B2167" s="41" t="n"/>
      <c r="C2167" s="41" t="n"/>
      <c r="F2167" s="41" t="n"/>
      <c r="H2167" s="41" t="n"/>
    </row>
    <row r="2168" ht="25.8" customHeight="1">
      <c r="B2168" s="41" t="n"/>
      <c r="C2168" s="41" t="n"/>
      <c r="F2168" s="41" t="n"/>
      <c r="H2168" s="41" t="n"/>
    </row>
    <row r="2169" ht="25.8" customHeight="1">
      <c r="B2169" s="41" t="n"/>
      <c r="C2169" s="41" t="n"/>
      <c r="F2169" s="41" t="n"/>
      <c r="H2169" s="41" t="n"/>
    </row>
    <row r="2170" ht="25.8" customHeight="1">
      <c r="B2170" s="41" t="n"/>
      <c r="C2170" s="41" t="n"/>
      <c r="F2170" s="41" t="n"/>
      <c r="H2170" s="41" t="n"/>
    </row>
    <row r="2171" ht="25.8" customHeight="1">
      <c r="B2171" s="41" t="n"/>
      <c r="C2171" s="41" t="n"/>
      <c r="F2171" s="41" t="n"/>
      <c r="H2171" s="41" t="n"/>
    </row>
    <row r="2172" ht="25.8" customHeight="1">
      <c r="B2172" s="41" t="n"/>
      <c r="C2172" s="41" t="n"/>
      <c r="F2172" s="41" t="n"/>
      <c r="H2172" s="41" t="n"/>
    </row>
    <row r="2173" ht="25.8" customHeight="1">
      <c r="B2173" s="41" t="n"/>
      <c r="C2173" s="41" t="n"/>
      <c r="F2173" s="41" t="n"/>
      <c r="H2173" s="41" t="n"/>
    </row>
    <row r="2174" ht="25.8" customHeight="1">
      <c r="B2174" s="41" t="n"/>
      <c r="C2174" s="41" t="n"/>
      <c r="F2174" s="41" t="n"/>
      <c r="H2174" s="41" t="n"/>
    </row>
    <row r="2175" ht="25.8" customHeight="1">
      <c r="B2175" s="41" t="n"/>
      <c r="C2175" s="41" t="n"/>
      <c r="F2175" s="41" t="n"/>
      <c r="H2175" s="41" t="n"/>
    </row>
    <row r="2176" ht="25.8" customHeight="1">
      <c r="B2176" s="41" t="n"/>
      <c r="C2176" s="41" t="n"/>
      <c r="F2176" s="41" t="n"/>
      <c r="H2176" s="41" t="n"/>
    </row>
    <row r="2177" ht="25.8" customHeight="1">
      <c r="B2177" s="41" t="n"/>
      <c r="C2177" s="41" t="n"/>
      <c r="F2177" s="41" t="n"/>
      <c r="H2177" s="41" t="n"/>
    </row>
    <row r="2178" ht="25.8" customHeight="1">
      <c r="B2178" s="41" t="n"/>
      <c r="C2178" s="41" t="n"/>
      <c r="F2178" s="41" t="n"/>
      <c r="H2178" s="41" t="n"/>
    </row>
    <row r="2179" ht="25.8" customHeight="1">
      <c r="B2179" s="41" t="n"/>
      <c r="C2179" s="41" t="n"/>
      <c r="F2179" s="41" t="n"/>
      <c r="H2179" s="41" t="n"/>
    </row>
    <row r="2180" ht="25.8" customHeight="1">
      <c r="B2180" s="41" t="n"/>
      <c r="C2180" s="41" t="n"/>
      <c r="F2180" s="41" t="n"/>
      <c r="H2180" s="41" t="n"/>
    </row>
    <row r="2181" ht="25.8" customHeight="1">
      <c r="B2181" s="41" t="n"/>
      <c r="C2181" s="41" t="n"/>
      <c r="F2181" s="41" t="n"/>
      <c r="H2181" s="41" t="n"/>
    </row>
    <row r="2182" ht="25.8" customHeight="1">
      <c r="B2182" s="41" t="n"/>
      <c r="C2182" s="41" t="n"/>
      <c r="F2182" s="41" t="n"/>
      <c r="H2182" s="41" t="n"/>
    </row>
    <row r="2183" ht="25.8" customHeight="1">
      <c r="B2183" s="41" t="n"/>
      <c r="C2183" s="41" t="n"/>
      <c r="F2183" s="41" t="n"/>
      <c r="H2183" s="41" t="n"/>
    </row>
    <row r="2184" ht="25.8" customHeight="1">
      <c r="B2184" s="41" t="n"/>
      <c r="C2184" s="41" t="n"/>
      <c r="F2184" s="41" t="n"/>
      <c r="H2184" s="41" t="n"/>
    </row>
    <row r="2185" ht="25.8" customHeight="1">
      <c r="B2185" s="41" t="n"/>
      <c r="C2185" s="41" t="n"/>
      <c r="F2185" s="41" t="n"/>
      <c r="H2185" s="41" t="n"/>
    </row>
    <row r="2186" ht="25.8" customHeight="1">
      <c r="B2186" s="41" t="n"/>
      <c r="C2186" s="41" t="n"/>
      <c r="F2186" s="41" t="n"/>
      <c r="H2186" s="41" t="n"/>
    </row>
    <row r="2187" ht="25.8" customHeight="1">
      <c r="B2187" s="41" t="n"/>
      <c r="C2187" s="41" t="n"/>
      <c r="F2187" s="41" t="n"/>
      <c r="H2187" s="41" t="n"/>
    </row>
    <row r="2188" ht="25.8" customHeight="1">
      <c r="B2188" s="41" t="n"/>
      <c r="C2188" s="41" t="n"/>
      <c r="F2188" s="41" t="n"/>
      <c r="H2188" s="41" t="n"/>
    </row>
    <row r="2189" ht="25.8" customHeight="1">
      <c r="B2189" s="41" t="n"/>
      <c r="C2189" s="41" t="n"/>
      <c r="F2189" s="41" t="n"/>
      <c r="H2189" s="41" t="n"/>
    </row>
    <row r="2190" ht="25.8" customHeight="1">
      <c r="B2190" s="41" t="n"/>
      <c r="C2190" s="41" t="n"/>
      <c r="F2190" s="41" t="n"/>
      <c r="H2190" s="41" t="n"/>
    </row>
    <row r="2191" ht="25.8" customHeight="1">
      <c r="B2191" s="41" t="n"/>
      <c r="C2191" s="41" t="n"/>
      <c r="F2191" s="41" t="n"/>
      <c r="H2191" s="41" t="n"/>
    </row>
    <row r="2192" ht="25.8" customHeight="1">
      <c r="B2192" s="41" t="n"/>
      <c r="C2192" s="41" t="n"/>
      <c r="F2192" s="41" t="n"/>
      <c r="H2192" s="41" t="n"/>
    </row>
    <row r="2193" ht="25.8" customHeight="1">
      <c r="B2193" s="41" t="n"/>
      <c r="C2193" s="41" t="n"/>
      <c r="F2193" s="41" t="n"/>
      <c r="H2193" s="41" t="n"/>
    </row>
    <row r="2194" ht="25.8" customHeight="1">
      <c r="B2194" s="41" t="n"/>
      <c r="C2194" s="41" t="n"/>
      <c r="F2194" s="41" t="n"/>
      <c r="H2194" s="41" t="n"/>
    </row>
    <row r="2195" ht="25.8" customHeight="1">
      <c r="B2195" s="41" t="n"/>
      <c r="C2195" s="41" t="n"/>
      <c r="F2195" s="41" t="n"/>
      <c r="H2195" s="41" t="n"/>
    </row>
    <row r="2196" ht="25.8" customHeight="1">
      <c r="B2196" s="41" t="n"/>
      <c r="C2196" s="41" t="n"/>
      <c r="F2196" s="41" t="n"/>
      <c r="H2196" s="41" t="n"/>
    </row>
    <row r="2197" ht="25.8" customHeight="1">
      <c r="B2197" s="41" t="n"/>
      <c r="C2197" s="41" t="n"/>
      <c r="F2197" s="41" t="n"/>
      <c r="H2197" s="41" t="n"/>
    </row>
    <row r="2198" ht="25.8" customHeight="1">
      <c r="B2198" s="41" t="n"/>
      <c r="C2198" s="41" t="n"/>
      <c r="F2198" s="41" t="n"/>
      <c r="H2198" s="41" t="n"/>
    </row>
    <row r="2199" ht="25.8" customHeight="1">
      <c r="B2199" s="41" t="n"/>
      <c r="C2199" s="41" t="n"/>
      <c r="F2199" s="41" t="n"/>
      <c r="H2199" s="41" t="n"/>
    </row>
    <row r="2200" ht="25.8" customHeight="1">
      <c r="B2200" s="41" t="n"/>
      <c r="C2200" s="41" t="n"/>
      <c r="F2200" s="41" t="n"/>
      <c r="H2200" s="41" t="n"/>
    </row>
    <row r="2201" ht="25.8" customHeight="1">
      <c r="B2201" s="41" t="n"/>
      <c r="C2201" s="41" t="n"/>
      <c r="F2201" s="41" t="n"/>
      <c r="H2201" s="41" t="n"/>
    </row>
    <row r="2202" ht="25.8" customHeight="1">
      <c r="B2202" s="41" t="n"/>
      <c r="C2202" s="41" t="n"/>
      <c r="F2202" s="41" t="n"/>
      <c r="H2202" s="41" t="n"/>
    </row>
    <row r="2203" ht="25.8" customHeight="1">
      <c r="B2203" s="41" t="n"/>
      <c r="C2203" s="41" t="n"/>
      <c r="F2203" s="41" t="n"/>
      <c r="H2203" s="41" t="n"/>
    </row>
    <row r="2204" ht="25.8" customHeight="1">
      <c r="B2204" s="41" t="n"/>
      <c r="C2204" s="41" t="n"/>
      <c r="F2204" s="41" t="n"/>
      <c r="H2204" s="41" t="n"/>
    </row>
    <row r="2205" ht="25.8" customHeight="1">
      <c r="B2205" s="41" t="n"/>
      <c r="C2205" s="41" t="n"/>
      <c r="F2205" s="41" t="n"/>
      <c r="H2205" s="41" t="n"/>
    </row>
    <row r="2206" ht="25.8" customHeight="1">
      <c r="B2206" s="41" t="n"/>
      <c r="C2206" s="41" t="n"/>
      <c r="F2206" s="41" t="n"/>
      <c r="H2206" s="41" t="n"/>
    </row>
    <row r="2207" ht="25.8" customHeight="1">
      <c r="B2207" s="41" t="n"/>
      <c r="C2207" s="41" t="n"/>
      <c r="F2207" s="41" t="n"/>
      <c r="H2207" s="41" t="n"/>
    </row>
    <row r="2208" ht="25.8" customHeight="1">
      <c r="B2208" s="41" t="n"/>
      <c r="C2208" s="41" t="n"/>
      <c r="F2208" s="41" t="n"/>
      <c r="H2208" s="41" t="n"/>
    </row>
    <row r="2209" ht="25.8" customHeight="1">
      <c r="B2209" s="41" t="n"/>
      <c r="C2209" s="41" t="n"/>
      <c r="F2209" s="41" t="n"/>
      <c r="H2209" s="41" t="n"/>
    </row>
    <row r="2210" ht="25.8" customHeight="1">
      <c r="B2210" s="41" t="n"/>
      <c r="C2210" s="41" t="n"/>
      <c r="F2210" s="41" t="n"/>
      <c r="H2210" s="41" t="n"/>
    </row>
    <row r="2211" ht="25.8" customHeight="1">
      <c r="B2211" s="41" t="n"/>
      <c r="C2211" s="41" t="n"/>
      <c r="F2211" s="41" t="n"/>
      <c r="H2211" s="41" t="n"/>
    </row>
    <row r="2212" ht="25.8" customHeight="1">
      <c r="B2212" s="41" t="n"/>
      <c r="C2212" s="41" t="n"/>
      <c r="F2212" s="41" t="n"/>
      <c r="H2212" s="41" t="n"/>
    </row>
    <row r="2213" ht="25.8" customHeight="1">
      <c r="B2213" s="41" t="n"/>
      <c r="C2213" s="41" t="n"/>
      <c r="F2213" s="41" t="n"/>
      <c r="H2213" s="41" t="n"/>
    </row>
    <row r="2214" ht="25.8" customHeight="1">
      <c r="B2214" s="41" t="n"/>
      <c r="C2214" s="41" t="n"/>
      <c r="F2214" s="41" t="n"/>
      <c r="H2214" s="41" t="n"/>
    </row>
    <row r="2215" ht="25.8" customHeight="1">
      <c r="B2215" s="41" t="n"/>
      <c r="C2215" s="41" t="n"/>
      <c r="F2215" s="41" t="n"/>
      <c r="H2215" s="41" t="n"/>
    </row>
    <row r="2216" ht="25.8" customHeight="1">
      <c r="B2216" s="41" t="n"/>
      <c r="C2216" s="41" t="n"/>
      <c r="F2216" s="41" t="n"/>
      <c r="H2216" s="41" t="n"/>
    </row>
    <row r="2217" ht="25.8" customHeight="1">
      <c r="B2217" s="41" t="n"/>
      <c r="C2217" s="41" t="n"/>
      <c r="F2217" s="41" t="n"/>
      <c r="H2217" s="41" t="n"/>
    </row>
    <row r="2218" ht="25.8" customHeight="1">
      <c r="B2218" s="41" t="n"/>
      <c r="C2218" s="41" t="n"/>
      <c r="F2218" s="41" t="n"/>
      <c r="H2218" s="41" t="n"/>
    </row>
    <row r="2219" ht="25.8" customHeight="1">
      <c r="B2219" s="41" t="n"/>
      <c r="C2219" s="41" t="n"/>
      <c r="F2219" s="41" t="n"/>
      <c r="H2219" s="41" t="n"/>
    </row>
    <row r="2220" ht="25.8" customHeight="1">
      <c r="B2220" s="41" t="n"/>
      <c r="C2220" s="41" t="n"/>
      <c r="F2220" s="41" t="n"/>
      <c r="H2220" s="41" t="n"/>
    </row>
    <row r="2221" ht="25.8" customHeight="1">
      <c r="B2221" s="41" t="n"/>
      <c r="C2221" s="41" t="n"/>
      <c r="F2221" s="41" t="n"/>
      <c r="H2221" s="41" t="n"/>
    </row>
    <row r="2222" ht="25.8" customHeight="1">
      <c r="B2222" s="41" t="n"/>
      <c r="C2222" s="41" t="n"/>
      <c r="F2222" s="41" t="n"/>
      <c r="H2222" s="41" t="n"/>
    </row>
    <row r="2223" ht="25.8" customHeight="1">
      <c r="B2223" s="41" t="n"/>
      <c r="C2223" s="41" t="n"/>
      <c r="F2223" s="41" t="n"/>
      <c r="H2223" s="41" t="n"/>
    </row>
    <row r="2224" ht="25.8" customHeight="1">
      <c r="B2224" s="41" t="n"/>
      <c r="C2224" s="41" t="n"/>
      <c r="F2224" s="41" t="n"/>
      <c r="H2224" s="41" t="n"/>
    </row>
    <row r="2225" ht="25.8" customHeight="1">
      <c r="B2225" s="41" t="n"/>
      <c r="C2225" s="41" t="n"/>
      <c r="F2225" s="41" t="n"/>
      <c r="H2225" s="41" t="n"/>
    </row>
    <row r="2226" ht="25.8" customHeight="1">
      <c r="B2226" s="41" t="n"/>
      <c r="C2226" s="41" t="n"/>
      <c r="F2226" s="41" t="n"/>
      <c r="H2226" s="41" t="n"/>
    </row>
    <row r="2227" ht="25.8" customHeight="1">
      <c r="B2227" s="41" t="n"/>
      <c r="C2227" s="41" t="n"/>
      <c r="F2227" s="41" t="n"/>
      <c r="H2227" s="41" t="n"/>
    </row>
    <row r="2228" ht="25.8" customHeight="1">
      <c r="B2228" s="41" t="n"/>
      <c r="C2228" s="41" t="n"/>
      <c r="F2228" s="41" t="n"/>
      <c r="H2228" s="41" t="n"/>
    </row>
    <row r="2229" ht="25.8" customHeight="1">
      <c r="B2229" s="41" t="n"/>
      <c r="C2229" s="41" t="n"/>
      <c r="F2229" s="41" t="n"/>
      <c r="H2229" s="41" t="n"/>
    </row>
    <row r="2230" ht="25.8" customHeight="1">
      <c r="B2230" s="41" t="n"/>
      <c r="C2230" s="41" t="n"/>
      <c r="F2230" s="41" t="n"/>
      <c r="H2230" s="41" t="n"/>
    </row>
    <row r="2231" ht="25.8" customHeight="1">
      <c r="B2231" s="41" t="n"/>
      <c r="C2231" s="41" t="n"/>
      <c r="F2231" s="41" t="n"/>
      <c r="H2231" s="41" t="n"/>
    </row>
    <row r="2232" ht="25.8" customHeight="1">
      <c r="B2232" s="41" t="n"/>
      <c r="C2232" s="41" t="n"/>
      <c r="F2232" s="41" t="n"/>
      <c r="H2232" s="41" t="n"/>
    </row>
    <row r="2233" ht="25.8" customHeight="1">
      <c r="B2233" s="41" t="n"/>
      <c r="C2233" s="41" t="n"/>
      <c r="F2233" s="41" t="n"/>
      <c r="H2233" s="41" t="n"/>
    </row>
    <row r="2234" ht="25.8" customHeight="1">
      <c r="B2234" s="41" t="n"/>
      <c r="C2234" s="41" t="n"/>
      <c r="F2234" s="41" t="n"/>
      <c r="H2234" s="41" t="n"/>
    </row>
    <row r="2235" ht="25.8" customHeight="1">
      <c r="B2235" s="41" t="n"/>
      <c r="C2235" s="41" t="n"/>
      <c r="F2235" s="41" t="n"/>
      <c r="H2235" s="41" t="n"/>
    </row>
    <row r="2236" ht="25.8" customHeight="1">
      <c r="B2236" s="41" t="n"/>
      <c r="C2236" s="41" t="n"/>
      <c r="F2236" s="41" t="n"/>
      <c r="H2236" s="41" t="n"/>
    </row>
    <row r="2237" ht="25.8" customHeight="1">
      <c r="B2237" s="41" t="n"/>
      <c r="C2237" s="41" t="n"/>
      <c r="F2237" s="41" t="n"/>
      <c r="H2237" s="41" t="n"/>
    </row>
    <row r="2238" ht="25.8" customHeight="1">
      <c r="B2238" s="41" t="n"/>
      <c r="C2238" s="41" t="n"/>
      <c r="F2238" s="41" t="n"/>
      <c r="H2238" s="41" t="n"/>
    </row>
    <row r="2239" ht="25.8" customHeight="1">
      <c r="B2239" s="41" t="n"/>
      <c r="C2239" s="41" t="n"/>
      <c r="F2239" s="41" t="n"/>
      <c r="H2239" s="41" t="n"/>
    </row>
    <row r="2240" ht="25.8" customHeight="1">
      <c r="B2240" s="41" t="n"/>
      <c r="C2240" s="41" t="n"/>
      <c r="F2240" s="41" t="n"/>
      <c r="H2240" s="41" t="n"/>
    </row>
    <row r="2241" ht="25.8" customHeight="1">
      <c r="B2241" s="41" t="n"/>
      <c r="C2241" s="41" t="n"/>
      <c r="F2241" s="41" t="n"/>
      <c r="H2241" s="41" t="n"/>
    </row>
    <row r="2242" ht="25.8" customHeight="1">
      <c r="B2242" s="41" t="n"/>
      <c r="C2242" s="41" t="n"/>
      <c r="F2242" s="41" t="n"/>
      <c r="H2242" s="41" t="n"/>
    </row>
    <row r="2243" ht="25.8" customHeight="1">
      <c r="B2243" s="41" t="n"/>
      <c r="C2243" s="41" t="n"/>
      <c r="F2243" s="41" t="n"/>
      <c r="H2243" s="41" t="n"/>
    </row>
    <row r="2244" ht="25.8" customHeight="1">
      <c r="B2244" s="41" t="n"/>
      <c r="C2244" s="41" t="n"/>
      <c r="F2244" s="41" t="n"/>
      <c r="H2244" s="41" t="n"/>
    </row>
    <row r="2245" ht="25.8" customHeight="1">
      <c r="B2245" s="41" t="n"/>
      <c r="C2245" s="41" t="n"/>
      <c r="F2245" s="41" t="n"/>
      <c r="H2245" s="41" t="n"/>
    </row>
    <row r="2246" ht="25.8" customHeight="1">
      <c r="B2246" s="41" t="n"/>
      <c r="C2246" s="41" t="n"/>
      <c r="F2246" s="41" t="n"/>
      <c r="H2246" s="41" t="n"/>
    </row>
    <row r="2247" ht="25.8" customHeight="1">
      <c r="B2247" s="41" t="n"/>
      <c r="C2247" s="41" t="n"/>
      <c r="F2247" s="41" t="n"/>
      <c r="H2247" s="41" t="n"/>
    </row>
    <row r="2248" ht="25.8" customHeight="1">
      <c r="B2248" s="41" t="n"/>
      <c r="C2248" s="41" t="n"/>
      <c r="F2248" s="41" t="n"/>
      <c r="H2248" s="41" t="n"/>
    </row>
    <row r="2249" ht="25.8" customHeight="1">
      <c r="B2249" s="41" t="n"/>
      <c r="C2249" s="41" t="n"/>
      <c r="F2249" s="41" t="n"/>
      <c r="H2249" s="41" t="n"/>
    </row>
    <row r="2250" ht="25.8" customHeight="1">
      <c r="B2250" s="41" t="n"/>
      <c r="C2250" s="41" t="n"/>
      <c r="F2250" s="41" t="n"/>
      <c r="H2250" s="41" t="n"/>
    </row>
    <row r="2251" ht="25.8" customHeight="1">
      <c r="B2251" s="41" t="n"/>
      <c r="C2251" s="41" t="n"/>
      <c r="F2251" s="41" t="n"/>
      <c r="H2251" s="41" t="n"/>
    </row>
    <row r="2252" ht="25.8" customHeight="1">
      <c r="B2252" s="41" t="n"/>
      <c r="C2252" s="41" t="n"/>
      <c r="F2252" s="41" t="n"/>
      <c r="H2252" s="41" t="n"/>
    </row>
    <row r="2253" ht="25.8" customHeight="1">
      <c r="B2253" s="41" t="n"/>
      <c r="C2253" s="41" t="n"/>
      <c r="F2253" s="41" t="n"/>
      <c r="H2253" s="41" t="n"/>
    </row>
    <row r="2254" ht="25.8" customHeight="1">
      <c r="B2254" s="41" t="n"/>
      <c r="C2254" s="41" t="n"/>
      <c r="F2254" s="41" t="n"/>
      <c r="H2254" s="41" t="n"/>
    </row>
    <row r="2255" ht="25.8" customHeight="1">
      <c r="B2255" s="41" t="n"/>
      <c r="C2255" s="41" t="n"/>
      <c r="F2255" s="41" t="n"/>
      <c r="H2255" s="41" t="n"/>
    </row>
    <row r="2256" ht="25.8" customHeight="1">
      <c r="B2256" s="41" t="n"/>
      <c r="C2256" s="41" t="n"/>
      <c r="F2256" s="41" t="n"/>
      <c r="H2256" s="41" t="n"/>
    </row>
    <row r="2257" ht="25.8" customHeight="1">
      <c r="B2257" s="41" t="n"/>
      <c r="C2257" s="41" t="n"/>
      <c r="F2257" s="41" t="n"/>
      <c r="H2257" s="41" t="n"/>
    </row>
    <row r="2258" ht="25.8" customHeight="1">
      <c r="B2258" s="41" t="n"/>
      <c r="C2258" s="41" t="n"/>
      <c r="F2258" s="41" t="n"/>
      <c r="H2258" s="41" t="n"/>
    </row>
    <row r="2259" ht="25.8" customHeight="1">
      <c r="B2259" s="41" t="n"/>
      <c r="C2259" s="41" t="n"/>
      <c r="F2259" s="41" t="n"/>
      <c r="H2259" s="41" t="n"/>
    </row>
    <row r="2260" ht="25.8" customHeight="1">
      <c r="B2260" s="41" t="n"/>
      <c r="C2260" s="41" t="n"/>
      <c r="F2260" s="41" t="n"/>
      <c r="H2260" s="41" t="n"/>
    </row>
    <row r="2261" ht="25.8" customHeight="1">
      <c r="B2261" s="41" t="n"/>
      <c r="C2261" s="41" t="n"/>
      <c r="F2261" s="41" t="n"/>
      <c r="H2261" s="41" t="n"/>
    </row>
    <row r="2262" ht="25.8" customHeight="1">
      <c r="B2262" s="41" t="n"/>
      <c r="C2262" s="41" t="n"/>
      <c r="F2262" s="41" t="n"/>
      <c r="H2262" s="41" t="n"/>
    </row>
    <row r="2263" ht="25.8" customHeight="1">
      <c r="B2263" s="41" t="n"/>
      <c r="C2263" s="41" t="n"/>
      <c r="F2263" s="41" t="n"/>
      <c r="H2263" s="41" t="n"/>
    </row>
    <row r="2264" ht="25.8" customHeight="1">
      <c r="B2264" s="41" t="n"/>
      <c r="C2264" s="41" t="n"/>
      <c r="F2264" s="41" t="n"/>
      <c r="H2264" s="41" t="n"/>
    </row>
    <row r="2265" ht="25.8" customHeight="1">
      <c r="B2265" s="41" t="n"/>
      <c r="C2265" s="41" t="n"/>
      <c r="F2265" s="41" t="n"/>
      <c r="H2265" s="41" t="n"/>
    </row>
    <row r="2266" ht="25.8" customHeight="1">
      <c r="B2266" s="41" t="n"/>
      <c r="C2266" s="41" t="n"/>
      <c r="F2266" s="41" t="n"/>
      <c r="H2266" s="41" t="n"/>
    </row>
    <row r="2267" ht="25.8" customHeight="1">
      <c r="B2267" s="41" t="n"/>
      <c r="C2267" s="41" t="n"/>
      <c r="F2267" s="41" t="n"/>
      <c r="H2267" s="41" t="n"/>
    </row>
    <row r="2268" ht="25.8" customHeight="1">
      <c r="B2268" s="41" t="n"/>
      <c r="C2268" s="41" t="n"/>
      <c r="F2268" s="41" t="n"/>
      <c r="H2268" s="41" t="n"/>
    </row>
    <row r="2269" ht="25.8" customHeight="1">
      <c r="B2269" s="41" t="n"/>
      <c r="C2269" s="41" t="n"/>
      <c r="F2269" s="41" t="n"/>
      <c r="H2269" s="41" t="n"/>
    </row>
    <row r="2270" ht="25.8" customHeight="1">
      <c r="B2270" s="41" t="n"/>
      <c r="C2270" s="41" t="n"/>
      <c r="F2270" s="41" t="n"/>
      <c r="H2270" s="41" t="n"/>
    </row>
    <row r="2271" ht="25.8" customHeight="1">
      <c r="B2271" s="41" t="n"/>
      <c r="C2271" s="41" t="n"/>
      <c r="F2271" s="41" t="n"/>
      <c r="H2271" s="41" t="n"/>
    </row>
    <row r="2272" ht="25.8" customHeight="1">
      <c r="B2272" s="41" t="n"/>
      <c r="C2272" s="41" t="n"/>
      <c r="F2272" s="41" t="n"/>
      <c r="H2272" s="41" t="n"/>
    </row>
    <row r="2273" ht="25.8" customHeight="1">
      <c r="B2273" s="41" t="n"/>
      <c r="C2273" s="41" t="n"/>
      <c r="F2273" s="41" t="n"/>
      <c r="H2273" s="41" t="n"/>
    </row>
    <row r="2274" ht="25.8" customHeight="1">
      <c r="B2274" s="41" t="n"/>
      <c r="C2274" s="41" t="n"/>
      <c r="F2274" s="41" t="n"/>
      <c r="H2274" s="41" t="n"/>
    </row>
    <row r="2275" ht="25.8" customHeight="1">
      <c r="B2275" s="41" t="n"/>
      <c r="C2275" s="41" t="n"/>
      <c r="F2275" s="41" t="n"/>
      <c r="H2275" s="41" t="n"/>
    </row>
    <row r="2276" ht="25.8" customHeight="1">
      <c r="B2276" s="41" t="n"/>
      <c r="C2276" s="41" t="n"/>
      <c r="F2276" s="41" t="n"/>
      <c r="H2276" s="41" t="n"/>
    </row>
    <row r="2277" ht="25.8" customHeight="1">
      <c r="B2277" s="41" t="n"/>
      <c r="C2277" s="41" t="n"/>
      <c r="F2277" s="41" t="n"/>
      <c r="H2277" s="41" t="n"/>
    </row>
    <row r="2278" ht="25.8" customHeight="1">
      <c r="B2278" s="41" t="n"/>
      <c r="C2278" s="41" t="n"/>
      <c r="F2278" s="41" t="n"/>
      <c r="H2278" s="41" t="n"/>
    </row>
    <row r="2279" ht="25.8" customHeight="1">
      <c r="B2279" s="41" t="n"/>
      <c r="C2279" s="41" t="n"/>
      <c r="F2279" s="41" t="n"/>
      <c r="H2279" s="41" t="n"/>
    </row>
    <row r="2280" ht="25.8" customHeight="1">
      <c r="B2280" s="41" t="n"/>
      <c r="C2280" s="41" t="n"/>
      <c r="F2280" s="41" t="n"/>
      <c r="H2280" s="41" t="n"/>
    </row>
    <row r="2281" ht="25.8" customHeight="1">
      <c r="B2281" s="41" t="n"/>
      <c r="C2281" s="41" t="n"/>
      <c r="F2281" s="41" t="n"/>
      <c r="H2281" s="41" t="n"/>
    </row>
    <row r="2282" ht="25.8" customHeight="1">
      <c r="B2282" s="41" t="n"/>
      <c r="C2282" s="41" t="n"/>
      <c r="F2282" s="41" t="n"/>
      <c r="H2282" s="41" t="n"/>
    </row>
    <row r="2283" ht="25.8" customHeight="1">
      <c r="B2283" s="41" t="n"/>
      <c r="C2283" s="41" t="n"/>
      <c r="F2283" s="41" t="n"/>
      <c r="H2283" s="41" t="n"/>
    </row>
    <row r="2284" ht="25.8" customHeight="1">
      <c r="B2284" s="41" t="n"/>
      <c r="C2284" s="41" t="n"/>
      <c r="F2284" s="41" t="n"/>
      <c r="H2284" s="41" t="n"/>
    </row>
    <row r="2285" ht="25.8" customHeight="1">
      <c r="B2285" s="41" t="n"/>
      <c r="C2285" s="41" t="n"/>
      <c r="F2285" s="41" t="n"/>
      <c r="H2285" s="41" t="n"/>
    </row>
    <row r="2286" ht="25.8" customHeight="1">
      <c r="B2286" s="41" t="n"/>
      <c r="C2286" s="41" t="n"/>
      <c r="F2286" s="41" t="n"/>
      <c r="H2286" s="41" t="n"/>
    </row>
    <row r="2287" ht="25.8" customHeight="1">
      <c r="B2287" s="41" t="n"/>
      <c r="C2287" s="41" t="n"/>
      <c r="F2287" s="41" t="n"/>
      <c r="H2287" s="41" t="n"/>
    </row>
    <row r="2288" ht="25.8" customHeight="1">
      <c r="B2288" s="41" t="n"/>
      <c r="C2288" s="41" t="n"/>
      <c r="F2288" s="41" t="n"/>
      <c r="H2288" s="41" t="n"/>
    </row>
    <row r="2289" ht="25.8" customHeight="1">
      <c r="B2289" s="41" t="n"/>
      <c r="C2289" s="41" t="n"/>
      <c r="F2289" s="41" t="n"/>
      <c r="H2289" s="41" t="n"/>
    </row>
    <row r="2290" ht="25.8" customHeight="1">
      <c r="B2290" s="41" t="n"/>
      <c r="C2290" s="41" t="n"/>
      <c r="F2290" s="41" t="n"/>
      <c r="H2290" s="41" t="n"/>
    </row>
    <row r="2291" ht="25.8" customHeight="1">
      <c r="B2291" s="41" t="n"/>
      <c r="C2291" s="41" t="n"/>
      <c r="F2291" s="41" t="n"/>
      <c r="H2291" s="41" t="n"/>
    </row>
    <row r="2292" ht="25.8" customHeight="1">
      <c r="B2292" s="41" t="n"/>
      <c r="C2292" s="41" t="n"/>
      <c r="F2292" s="41" t="n"/>
      <c r="H2292" s="41" t="n"/>
    </row>
    <row r="2293" ht="25.8" customHeight="1">
      <c r="B2293" s="41" t="n"/>
      <c r="C2293" s="41" t="n"/>
      <c r="F2293" s="41" t="n"/>
      <c r="H2293" s="41" t="n"/>
    </row>
    <row r="2294" ht="25.8" customHeight="1">
      <c r="B2294" s="41" t="n"/>
      <c r="C2294" s="41" t="n"/>
      <c r="F2294" s="41" t="n"/>
      <c r="H2294" s="41" t="n"/>
    </row>
    <row r="2295" ht="25.8" customHeight="1">
      <c r="B2295" s="41" t="n"/>
      <c r="C2295" s="41" t="n"/>
      <c r="F2295" s="41" t="n"/>
      <c r="H2295" s="41" t="n"/>
    </row>
    <row r="2296" ht="25.8" customHeight="1">
      <c r="B2296" s="41" t="n"/>
      <c r="C2296" s="41" t="n"/>
      <c r="F2296" s="41" t="n"/>
      <c r="H2296" s="41" t="n"/>
    </row>
    <row r="2297" ht="25.8" customHeight="1">
      <c r="B2297" s="41" t="n"/>
      <c r="C2297" s="41" t="n"/>
      <c r="F2297" s="41" t="n"/>
      <c r="H2297" s="41" t="n"/>
    </row>
    <row r="2298" ht="25.8" customHeight="1">
      <c r="B2298" s="41" t="n"/>
      <c r="C2298" s="41" t="n"/>
      <c r="F2298" s="41" t="n"/>
      <c r="H2298" s="41" t="n"/>
    </row>
    <row r="2299" ht="25.8" customHeight="1">
      <c r="B2299" s="41" t="n"/>
      <c r="C2299" s="41" t="n"/>
      <c r="F2299" s="41" t="n"/>
      <c r="H2299" s="41" t="n"/>
    </row>
    <row r="2300" ht="25.8" customHeight="1">
      <c r="B2300" s="41" t="n"/>
      <c r="C2300" s="41" t="n"/>
      <c r="F2300" s="41" t="n"/>
      <c r="H2300" s="41" t="n"/>
    </row>
    <row r="2301" ht="25.8" customHeight="1">
      <c r="B2301" s="41" t="n"/>
      <c r="C2301" s="41" t="n"/>
      <c r="F2301" s="41" t="n"/>
      <c r="H2301" s="41" t="n"/>
    </row>
    <row r="2302" ht="25.8" customHeight="1">
      <c r="B2302" s="41" t="n"/>
      <c r="C2302" s="41" t="n"/>
      <c r="F2302" s="41" t="n"/>
      <c r="H2302" s="41" t="n"/>
    </row>
    <row r="2303" ht="25.8" customHeight="1">
      <c r="B2303" s="41" t="n"/>
      <c r="C2303" s="41" t="n"/>
      <c r="F2303" s="41" t="n"/>
      <c r="H2303" s="41" t="n"/>
    </row>
    <row r="2304" ht="25.8" customHeight="1">
      <c r="B2304" s="41" t="n"/>
      <c r="C2304" s="41" t="n"/>
      <c r="F2304" s="41" t="n"/>
      <c r="H2304" s="41" t="n"/>
    </row>
    <row r="2305" ht="25.8" customHeight="1">
      <c r="B2305" s="41" t="n"/>
      <c r="C2305" s="41" t="n"/>
      <c r="F2305" s="41" t="n"/>
      <c r="H2305" s="41" t="n"/>
    </row>
    <row r="2306" ht="25.8" customHeight="1">
      <c r="B2306" s="41" t="n"/>
      <c r="C2306" s="41" t="n"/>
      <c r="F2306" s="41" t="n"/>
      <c r="H2306" s="41" t="n"/>
    </row>
    <row r="2307" ht="25.8" customHeight="1">
      <c r="B2307" s="41" t="n"/>
      <c r="C2307" s="41" t="n"/>
      <c r="F2307" s="41" t="n"/>
      <c r="H2307" s="41" t="n"/>
    </row>
    <row r="2308" ht="25.8" customHeight="1">
      <c r="B2308" s="41" t="n"/>
      <c r="C2308" s="41" t="n"/>
      <c r="F2308" s="41" t="n"/>
      <c r="H2308" s="41" t="n"/>
    </row>
    <row r="2309" ht="25.8" customHeight="1">
      <c r="B2309" s="41" t="n"/>
      <c r="C2309" s="41" t="n"/>
      <c r="F2309" s="41" t="n"/>
      <c r="H2309" s="41" t="n"/>
    </row>
    <row r="2310" ht="25.8" customHeight="1">
      <c r="B2310" s="41" t="n"/>
      <c r="C2310" s="41" t="n"/>
      <c r="F2310" s="41" t="n"/>
      <c r="H2310" s="41" t="n"/>
    </row>
    <row r="2311" ht="25.8" customHeight="1">
      <c r="B2311" s="41" t="n"/>
      <c r="C2311" s="41" t="n"/>
      <c r="F2311" s="41" t="n"/>
      <c r="H2311" s="41" t="n"/>
    </row>
    <row r="2312" ht="25.8" customHeight="1">
      <c r="B2312" s="41" t="n"/>
      <c r="C2312" s="41" t="n"/>
      <c r="F2312" s="41" t="n"/>
      <c r="H2312" s="41" t="n"/>
    </row>
    <row r="2313" ht="25.8" customHeight="1">
      <c r="B2313" s="41" t="n"/>
      <c r="C2313" s="41" t="n"/>
      <c r="F2313" s="41" t="n"/>
      <c r="H2313" s="41" t="n"/>
    </row>
    <row r="2314" ht="25.8" customHeight="1">
      <c r="B2314" s="41" t="n"/>
      <c r="C2314" s="41" t="n"/>
      <c r="F2314" s="41" t="n"/>
      <c r="H2314" s="41" t="n"/>
    </row>
    <row r="2315" ht="25.8" customHeight="1">
      <c r="B2315" s="41" t="n"/>
      <c r="C2315" s="41" t="n"/>
      <c r="F2315" s="41" t="n"/>
      <c r="H2315" s="41" t="n"/>
    </row>
    <row r="2316" ht="25.8" customHeight="1">
      <c r="B2316" s="41" t="n"/>
      <c r="C2316" s="41" t="n"/>
      <c r="F2316" s="41" t="n"/>
      <c r="H2316" s="41" t="n"/>
    </row>
    <row r="2317" ht="25.8" customHeight="1">
      <c r="B2317" s="41" t="n"/>
      <c r="C2317" s="41" t="n"/>
      <c r="F2317" s="41" t="n"/>
      <c r="H2317" s="41" t="n"/>
    </row>
    <row r="2318" ht="25.8" customHeight="1">
      <c r="B2318" s="41" t="n"/>
      <c r="C2318" s="41" t="n"/>
      <c r="F2318" s="41" t="n"/>
      <c r="H2318" s="41" t="n"/>
    </row>
    <row r="2319" ht="25.8" customHeight="1">
      <c r="B2319" s="41" t="n"/>
      <c r="C2319" s="41" t="n"/>
      <c r="F2319" s="41" t="n"/>
      <c r="H2319" s="41" t="n"/>
    </row>
    <row r="2320" ht="25.8" customHeight="1">
      <c r="B2320" s="41" t="n"/>
      <c r="C2320" s="41" t="n"/>
      <c r="F2320" s="41" t="n"/>
      <c r="H2320" s="41" t="n"/>
    </row>
    <row r="2321" ht="25.8" customHeight="1">
      <c r="B2321" s="41" t="n"/>
      <c r="C2321" s="41" t="n"/>
      <c r="F2321" s="41" t="n"/>
      <c r="H2321" s="41" t="n"/>
    </row>
    <row r="2322" ht="25.8" customHeight="1">
      <c r="B2322" s="41" t="n"/>
      <c r="C2322" s="41" t="n"/>
      <c r="F2322" s="41" t="n"/>
      <c r="H2322" s="41" t="n"/>
    </row>
    <row r="2323" ht="25.8" customHeight="1">
      <c r="B2323" s="41" t="n"/>
      <c r="C2323" s="41" t="n"/>
      <c r="F2323" s="41" t="n"/>
      <c r="H2323" s="41" t="n"/>
    </row>
    <row r="2324" ht="25.8" customHeight="1">
      <c r="B2324" s="41" t="n"/>
      <c r="C2324" s="41" t="n"/>
      <c r="F2324" s="41" t="n"/>
      <c r="H2324" s="41" t="n"/>
    </row>
    <row r="2325" ht="25.8" customHeight="1">
      <c r="B2325" s="41" t="n"/>
      <c r="C2325" s="41" t="n"/>
      <c r="F2325" s="41" t="n"/>
      <c r="H2325" s="41" t="n"/>
    </row>
    <row r="2326" ht="25.8" customHeight="1">
      <c r="B2326" s="41" t="n"/>
      <c r="C2326" s="41" t="n"/>
      <c r="F2326" s="41" t="n"/>
      <c r="H2326" s="41" t="n"/>
    </row>
    <row r="2327" ht="25.8" customHeight="1">
      <c r="B2327" s="41" t="n"/>
      <c r="C2327" s="41" t="n"/>
      <c r="F2327" s="41" t="n"/>
      <c r="H2327" s="41" t="n"/>
    </row>
    <row r="2328" ht="25.8" customHeight="1">
      <c r="B2328" s="41" t="n"/>
      <c r="C2328" s="41" t="n"/>
      <c r="F2328" s="41" t="n"/>
      <c r="H2328" s="41" t="n"/>
    </row>
    <row r="2329" ht="25.8" customHeight="1">
      <c r="B2329" s="41" t="n"/>
      <c r="C2329" s="41" t="n"/>
      <c r="F2329" s="41" t="n"/>
      <c r="H2329" s="41" t="n"/>
    </row>
    <row r="2330" ht="25.8" customHeight="1">
      <c r="B2330" s="41" t="n"/>
      <c r="C2330" s="41" t="n"/>
      <c r="F2330" s="41" t="n"/>
      <c r="H2330" s="41" t="n"/>
    </row>
    <row r="2331" ht="25.8" customHeight="1">
      <c r="B2331" s="41" t="n"/>
      <c r="C2331" s="41" t="n"/>
      <c r="F2331" s="41" t="n"/>
      <c r="H2331" s="41" t="n"/>
    </row>
    <row r="2332" ht="25.8" customHeight="1">
      <c r="B2332" s="41" t="n"/>
      <c r="C2332" s="41" t="n"/>
      <c r="F2332" s="41" t="n"/>
      <c r="H2332" s="41" t="n"/>
    </row>
    <row r="2333" ht="25.8" customHeight="1">
      <c r="B2333" s="41" t="n"/>
      <c r="C2333" s="41" t="n"/>
      <c r="F2333" s="41" t="n"/>
      <c r="H2333" s="41" t="n"/>
    </row>
    <row r="2334" ht="25.8" customHeight="1">
      <c r="B2334" s="41" t="n"/>
      <c r="C2334" s="41" t="n"/>
      <c r="F2334" s="41" t="n"/>
      <c r="H2334" s="41" t="n"/>
    </row>
    <row r="2335" ht="25.8" customHeight="1">
      <c r="B2335" s="41" t="n"/>
      <c r="C2335" s="41" t="n"/>
      <c r="F2335" s="41" t="n"/>
      <c r="H2335" s="41" t="n"/>
    </row>
    <row r="2336" ht="25.8" customHeight="1">
      <c r="B2336" s="41" t="n"/>
      <c r="C2336" s="41" t="n"/>
      <c r="F2336" s="41" t="n"/>
      <c r="H2336" s="41" t="n"/>
    </row>
    <row r="2337" ht="25.8" customHeight="1">
      <c r="B2337" s="41" t="n"/>
      <c r="C2337" s="41" t="n"/>
      <c r="F2337" s="41" t="n"/>
      <c r="H2337" s="41" t="n"/>
    </row>
    <row r="2338" ht="25.8" customHeight="1">
      <c r="B2338" s="41" t="n"/>
      <c r="C2338" s="41" t="n"/>
      <c r="F2338" s="41" t="n"/>
      <c r="H2338" s="41" t="n"/>
    </row>
    <row r="2339" ht="25.8" customHeight="1">
      <c r="B2339" s="41" t="n"/>
      <c r="C2339" s="41" t="n"/>
      <c r="F2339" s="41" t="n"/>
      <c r="H2339" s="41" t="n"/>
    </row>
    <row r="2340" ht="25.8" customHeight="1">
      <c r="B2340" s="41" t="n"/>
      <c r="C2340" s="41" t="n"/>
      <c r="F2340" s="41" t="n"/>
      <c r="H2340" s="41" t="n"/>
    </row>
    <row r="2341" ht="25.8" customHeight="1">
      <c r="B2341" s="41" t="n"/>
      <c r="C2341" s="41" t="n"/>
      <c r="F2341" s="41" t="n"/>
      <c r="H2341" s="41" t="n"/>
    </row>
    <row r="2342" ht="25.8" customHeight="1">
      <c r="B2342" s="41" t="n"/>
      <c r="C2342" s="41" t="n"/>
      <c r="F2342" s="41" t="n"/>
      <c r="H2342" s="41" t="n"/>
    </row>
    <row r="2343" ht="25.8" customHeight="1">
      <c r="B2343" s="41" t="n"/>
      <c r="C2343" s="41" t="n"/>
      <c r="F2343" s="41" t="n"/>
      <c r="H2343" s="41" t="n"/>
    </row>
    <row r="2344" ht="25.8" customHeight="1">
      <c r="B2344" s="41" t="n"/>
      <c r="C2344" s="41" t="n"/>
      <c r="F2344" s="41" t="n"/>
      <c r="H2344" s="41" t="n"/>
    </row>
    <row r="2345" ht="25.8" customHeight="1">
      <c r="B2345" s="41" t="n"/>
      <c r="C2345" s="41" t="n"/>
      <c r="F2345" s="41" t="n"/>
      <c r="H2345" s="41" t="n"/>
    </row>
    <row r="2346" ht="25.8" customHeight="1">
      <c r="B2346" s="41" t="n"/>
      <c r="C2346" s="41" t="n"/>
      <c r="F2346" s="41" t="n"/>
      <c r="H2346" s="41" t="n"/>
    </row>
    <row r="2347" ht="25.8" customHeight="1">
      <c r="B2347" s="41" t="n"/>
      <c r="C2347" s="41" t="n"/>
      <c r="F2347" s="41" t="n"/>
      <c r="H2347" s="41" t="n"/>
    </row>
    <row r="2348" ht="25.8" customHeight="1">
      <c r="B2348" s="41" t="n"/>
      <c r="C2348" s="41" t="n"/>
      <c r="F2348" s="41" t="n"/>
      <c r="H2348" s="41" t="n"/>
    </row>
    <row r="2349" ht="25.8" customHeight="1">
      <c r="B2349" s="41" t="n"/>
      <c r="C2349" s="41" t="n"/>
      <c r="F2349" s="41" t="n"/>
      <c r="H2349" s="41" t="n"/>
    </row>
    <row r="2350" ht="25.8" customHeight="1">
      <c r="B2350" s="41" t="n"/>
      <c r="C2350" s="41" t="n"/>
      <c r="F2350" s="41" t="n"/>
      <c r="H2350" s="41" t="n"/>
    </row>
    <row r="2351" ht="25.8" customHeight="1">
      <c r="B2351" s="41" t="n"/>
      <c r="C2351" s="41" t="n"/>
      <c r="F2351" s="41" t="n"/>
      <c r="H2351" s="41" t="n"/>
    </row>
    <row r="2352" ht="25.8" customHeight="1">
      <c r="B2352" s="41" t="n"/>
      <c r="C2352" s="41" t="n"/>
      <c r="F2352" s="41" t="n"/>
      <c r="H2352" s="41" t="n"/>
    </row>
    <row r="2353" ht="25.8" customHeight="1">
      <c r="B2353" s="41" t="n"/>
      <c r="C2353" s="41" t="n"/>
      <c r="F2353" s="41" t="n"/>
      <c r="H2353" s="41" t="n"/>
    </row>
    <row r="2354" ht="25.8" customHeight="1">
      <c r="B2354" s="41" t="n"/>
      <c r="C2354" s="41" t="n"/>
      <c r="F2354" s="41" t="n"/>
      <c r="H2354" s="41" t="n"/>
    </row>
    <row r="2355" ht="25.8" customHeight="1">
      <c r="B2355" s="41" t="n"/>
      <c r="C2355" s="41" t="n"/>
      <c r="F2355" s="41" t="n"/>
      <c r="H2355" s="41" t="n"/>
    </row>
    <row r="2356" ht="25.8" customHeight="1">
      <c r="B2356" s="41" t="n"/>
      <c r="C2356" s="41" t="n"/>
      <c r="F2356" s="41" t="n"/>
      <c r="H2356" s="41" t="n"/>
    </row>
    <row r="2357" ht="25.8" customHeight="1">
      <c r="B2357" s="41" t="n"/>
      <c r="C2357" s="41" t="n"/>
      <c r="F2357" s="41" t="n"/>
      <c r="H2357" s="41" t="n"/>
    </row>
    <row r="2358" ht="25.8" customHeight="1">
      <c r="B2358" s="41" t="n"/>
      <c r="C2358" s="41" t="n"/>
      <c r="F2358" s="41" t="n"/>
      <c r="H2358" s="41" t="n"/>
    </row>
    <row r="2359" ht="25.8" customHeight="1">
      <c r="B2359" s="41" t="n"/>
      <c r="C2359" s="41" t="n"/>
      <c r="F2359" s="41" t="n"/>
      <c r="H2359" s="41" t="n"/>
    </row>
    <row r="2360" ht="25.8" customHeight="1">
      <c r="B2360" s="41" t="n"/>
      <c r="C2360" s="41" t="n"/>
      <c r="F2360" s="41" t="n"/>
      <c r="H2360" s="41" t="n"/>
    </row>
    <row r="2361" ht="25.8" customHeight="1">
      <c r="B2361" s="41" t="n"/>
      <c r="C2361" s="41" t="n"/>
      <c r="F2361" s="41" t="n"/>
      <c r="H2361" s="41" t="n"/>
    </row>
    <row r="2362" ht="25.8" customHeight="1">
      <c r="B2362" s="41" t="n"/>
      <c r="C2362" s="41" t="n"/>
      <c r="F2362" s="41" t="n"/>
      <c r="H2362" s="41" t="n"/>
    </row>
    <row r="2363" ht="25.8" customHeight="1">
      <c r="B2363" s="41" t="n"/>
      <c r="C2363" s="41" t="n"/>
      <c r="F2363" s="41" t="n"/>
      <c r="H2363" s="41" t="n"/>
    </row>
    <row r="2364" ht="25.8" customHeight="1">
      <c r="B2364" s="41" t="n"/>
      <c r="C2364" s="41" t="n"/>
      <c r="F2364" s="41" t="n"/>
      <c r="H2364" s="41" t="n"/>
    </row>
    <row r="2365" ht="25.8" customHeight="1">
      <c r="B2365" s="41" t="n"/>
      <c r="C2365" s="41" t="n"/>
      <c r="F2365" s="41" t="n"/>
      <c r="H2365" s="41" t="n"/>
    </row>
    <row r="2366" ht="25.8" customHeight="1">
      <c r="B2366" s="41" t="n"/>
      <c r="C2366" s="41" t="n"/>
      <c r="F2366" s="41" t="n"/>
      <c r="H2366" s="41" t="n"/>
    </row>
    <row r="2367" ht="25.8" customHeight="1">
      <c r="B2367" s="41" t="n"/>
      <c r="C2367" s="41" t="n"/>
      <c r="F2367" s="41" t="n"/>
      <c r="H2367" s="41" t="n"/>
    </row>
    <row r="2368" ht="25.8" customHeight="1">
      <c r="B2368" s="41" t="n"/>
      <c r="C2368" s="41" t="n"/>
      <c r="F2368" s="41" t="n"/>
      <c r="H2368" s="41" t="n"/>
    </row>
    <row r="2369" ht="25.8" customHeight="1">
      <c r="B2369" s="41" t="n"/>
      <c r="C2369" s="41" t="n"/>
      <c r="F2369" s="41" t="n"/>
      <c r="H2369" s="41" t="n"/>
    </row>
    <row r="2370" ht="25.8" customHeight="1">
      <c r="B2370" s="41" t="n"/>
      <c r="C2370" s="41" t="n"/>
      <c r="F2370" s="41" t="n"/>
      <c r="H2370" s="41" t="n"/>
    </row>
    <row r="2371" ht="25.8" customHeight="1">
      <c r="B2371" s="41" t="n"/>
      <c r="C2371" s="41" t="n"/>
      <c r="F2371" s="41" t="n"/>
      <c r="H2371" s="41" t="n"/>
    </row>
    <row r="2372" ht="25.8" customHeight="1">
      <c r="B2372" s="41" t="n"/>
      <c r="C2372" s="41" t="n"/>
      <c r="F2372" s="41" t="n"/>
      <c r="H2372" s="41" t="n"/>
    </row>
    <row r="2373" ht="25.8" customHeight="1">
      <c r="B2373" s="41" t="n"/>
      <c r="C2373" s="41" t="n"/>
      <c r="F2373" s="41" t="n"/>
      <c r="H2373" s="41" t="n"/>
    </row>
    <row r="2374" ht="25.8" customHeight="1">
      <c r="B2374" s="41" t="n"/>
      <c r="C2374" s="41" t="n"/>
      <c r="F2374" s="41" t="n"/>
      <c r="H2374" s="41" t="n"/>
    </row>
    <row r="2375" ht="25.8" customHeight="1">
      <c r="B2375" s="41" t="n"/>
      <c r="C2375" s="41" t="n"/>
      <c r="F2375" s="41" t="n"/>
      <c r="H2375" s="41" t="n"/>
    </row>
    <row r="2376" ht="25.8" customHeight="1">
      <c r="B2376" s="41" t="n"/>
      <c r="C2376" s="41" t="n"/>
      <c r="F2376" s="41" t="n"/>
      <c r="H2376" s="41" t="n"/>
    </row>
    <row r="2377" ht="25.8" customHeight="1">
      <c r="B2377" s="41" t="n"/>
      <c r="C2377" s="41" t="n"/>
      <c r="F2377" s="41" t="n"/>
      <c r="H2377" s="41" t="n"/>
    </row>
    <row r="2378" ht="25.8" customHeight="1">
      <c r="B2378" s="41" t="n"/>
      <c r="C2378" s="41" t="n"/>
      <c r="F2378" s="41" t="n"/>
      <c r="H2378" s="41" t="n"/>
    </row>
    <row r="2379" ht="25.8" customHeight="1">
      <c r="B2379" s="41" t="n"/>
      <c r="C2379" s="41" t="n"/>
      <c r="F2379" s="41" t="n"/>
      <c r="H2379" s="41" t="n"/>
    </row>
    <row r="2380" ht="25.8" customHeight="1">
      <c r="B2380" s="41" t="n"/>
      <c r="C2380" s="41" t="n"/>
      <c r="F2380" s="41" t="n"/>
      <c r="H2380" s="41" t="n"/>
    </row>
    <row r="2381" ht="25.8" customHeight="1">
      <c r="B2381" s="41" t="n"/>
      <c r="C2381" s="41" t="n"/>
      <c r="F2381" s="41" t="n"/>
      <c r="H2381" s="41" t="n"/>
    </row>
    <row r="2382" ht="25.8" customHeight="1">
      <c r="B2382" s="41" t="n"/>
      <c r="C2382" s="41" t="n"/>
      <c r="F2382" s="41" t="n"/>
      <c r="H2382" s="41" t="n"/>
    </row>
    <row r="2383" ht="25.8" customHeight="1">
      <c r="B2383" s="41" t="n"/>
      <c r="C2383" s="41" t="n"/>
      <c r="F2383" s="41" t="n"/>
      <c r="H2383" s="41" t="n"/>
    </row>
    <row r="2384" ht="25.8" customHeight="1">
      <c r="B2384" s="41" t="n"/>
      <c r="C2384" s="41" t="n"/>
      <c r="F2384" s="41" t="n"/>
      <c r="H2384" s="41" t="n"/>
    </row>
    <row r="2385" ht="25.8" customHeight="1">
      <c r="B2385" s="41" t="n"/>
      <c r="C2385" s="41" t="n"/>
      <c r="F2385" s="41" t="n"/>
      <c r="H2385" s="41" t="n"/>
    </row>
    <row r="2386" ht="25.8" customHeight="1">
      <c r="B2386" s="41" t="n"/>
      <c r="C2386" s="41" t="n"/>
      <c r="F2386" s="41" t="n"/>
      <c r="H2386" s="41" t="n"/>
    </row>
    <row r="2387" ht="25.8" customHeight="1">
      <c r="B2387" s="41" t="n"/>
      <c r="C2387" s="41" t="n"/>
      <c r="F2387" s="41" t="n"/>
      <c r="H2387" s="41" t="n"/>
    </row>
    <row r="2388" ht="25.8" customHeight="1">
      <c r="B2388" s="41" t="n"/>
      <c r="C2388" s="41" t="n"/>
      <c r="F2388" s="41" t="n"/>
      <c r="H2388" s="41" t="n"/>
    </row>
    <row r="2389" ht="25.8" customHeight="1">
      <c r="B2389" s="41" t="n"/>
      <c r="C2389" s="41" t="n"/>
      <c r="F2389" s="41" t="n"/>
      <c r="H2389" s="41" t="n"/>
    </row>
    <row r="2390" ht="25.8" customHeight="1">
      <c r="B2390" s="41" t="n"/>
      <c r="C2390" s="41" t="n"/>
      <c r="F2390" s="41" t="n"/>
      <c r="H2390" s="41" t="n"/>
    </row>
    <row r="2391" ht="25.8" customHeight="1">
      <c r="B2391" s="41" t="n"/>
      <c r="C2391" s="41" t="n"/>
      <c r="F2391" s="41" t="n"/>
      <c r="H2391" s="41" t="n"/>
    </row>
    <row r="2392" ht="25.8" customHeight="1">
      <c r="B2392" s="41" t="n"/>
      <c r="C2392" s="41" t="n"/>
      <c r="F2392" s="41" t="n"/>
      <c r="H2392" s="41" t="n"/>
    </row>
    <row r="2393" ht="25.8" customHeight="1">
      <c r="B2393" s="41" t="n"/>
      <c r="C2393" s="41" t="n"/>
      <c r="F2393" s="41" t="n"/>
      <c r="H2393" s="41" t="n"/>
    </row>
    <row r="2394" ht="25.8" customHeight="1">
      <c r="B2394" s="41" t="n"/>
      <c r="C2394" s="41" t="n"/>
      <c r="F2394" s="41" t="n"/>
      <c r="H2394" s="41" t="n"/>
    </row>
    <row r="2395" ht="25.8" customHeight="1">
      <c r="B2395" s="41" t="n"/>
      <c r="C2395" s="41" t="n"/>
      <c r="F2395" s="41" t="n"/>
      <c r="H2395" s="41" t="n"/>
    </row>
    <row r="2396" ht="25.8" customHeight="1">
      <c r="B2396" s="41" t="n"/>
      <c r="C2396" s="41" t="n"/>
      <c r="F2396" s="41" t="n"/>
      <c r="H2396" s="41" t="n"/>
    </row>
    <row r="2397" ht="25.8" customHeight="1">
      <c r="B2397" s="41" t="n"/>
      <c r="C2397" s="41" t="n"/>
      <c r="F2397" s="41" t="n"/>
      <c r="H2397" s="41" t="n"/>
    </row>
    <row r="2398" ht="25.8" customHeight="1">
      <c r="B2398" s="41" t="n"/>
      <c r="C2398" s="41" t="n"/>
      <c r="F2398" s="41" t="n"/>
      <c r="H2398" s="41" t="n"/>
    </row>
    <row r="2399" ht="25.8" customHeight="1">
      <c r="B2399" s="41" t="n"/>
      <c r="C2399" s="41" t="n"/>
      <c r="F2399" s="41" t="n"/>
      <c r="H2399" s="41" t="n"/>
    </row>
    <row r="2400" ht="25.8" customHeight="1">
      <c r="B2400" s="41" t="n"/>
      <c r="C2400" s="41" t="n"/>
      <c r="F2400" s="41" t="n"/>
      <c r="H2400" s="41" t="n"/>
    </row>
    <row r="2401" ht="25.8" customHeight="1">
      <c r="B2401" s="41" t="n"/>
      <c r="C2401" s="41" t="n"/>
      <c r="F2401" s="41" t="n"/>
      <c r="H2401" s="41" t="n"/>
    </row>
    <row r="2402" ht="25.8" customHeight="1">
      <c r="B2402" s="41" t="n"/>
      <c r="C2402" s="41" t="n"/>
      <c r="F2402" s="41" t="n"/>
      <c r="H2402" s="41" t="n"/>
    </row>
    <row r="2403" ht="25.8" customHeight="1">
      <c r="B2403" s="41" t="n"/>
      <c r="C2403" s="41" t="n"/>
      <c r="F2403" s="41" t="n"/>
      <c r="H2403" s="41" t="n"/>
    </row>
    <row r="2404" ht="25.8" customHeight="1">
      <c r="B2404" s="41" t="n"/>
      <c r="C2404" s="41" t="n"/>
      <c r="F2404" s="41" t="n"/>
      <c r="H2404" s="41" t="n"/>
    </row>
    <row r="2405" ht="25.8" customHeight="1">
      <c r="B2405" s="41" t="n"/>
      <c r="C2405" s="41" t="n"/>
      <c r="F2405" s="41" t="n"/>
      <c r="H2405" s="41" t="n"/>
    </row>
    <row r="2406" ht="25.8" customHeight="1">
      <c r="B2406" s="41" t="n"/>
      <c r="C2406" s="41" t="n"/>
      <c r="F2406" s="41" t="n"/>
      <c r="H2406" s="41" t="n"/>
    </row>
    <row r="2407" ht="25.8" customHeight="1">
      <c r="B2407" s="41" t="n"/>
      <c r="C2407" s="41" t="n"/>
      <c r="F2407" s="41" t="n"/>
      <c r="H2407" s="41" t="n"/>
    </row>
    <row r="2408" ht="25.8" customHeight="1">
      <c r="B2408" s="41" t="n"/>
      <c r="C2408" s="41" t="n"/>
      <c r="F2408" s="41" t="n"/>
      <c r="H2408" s="41" t="n"/>
    </row>
    <row r="2409" ht="25.8" customHeight="1">
      <c r="B2409" s="41" t="n"/>
      <c r="C2409" s="41" t="n"/>
      <c r="F2409" s="41" t="n"/>
      <c r="H2409" s="41" t="n"/>
    </row>
    <row r="2410" ht="25.8" customHeight="1">
      <c r="B2410" s="41" t="n"/>
      <c r="C2410" s="41" t="n"/>
      <c r="F2410" s="41" t="n"/>
      <c r="H2410" s="41" t="n"/>
    </row>
    <row r="2411" ht="25.8" customHeight="1">
      <c r="B2411" s="41" t="n"/>
      <c r="C2411" s="41" t="n"/>
      <c r="F2411" s="41" t="n"/>
      <c r="H2411" s="41" t="n"/>
    </row>
    <row r="2412" ht="25.8" customHeight="1">
      <c r="B2412" s="41" t="n"/>
      <c r="C2412" s="41" t="n"/>
      <c r="F2412" s="41" t="n"/>
      <c r="H2412" s="41" t="n"/>
    </row>
    <row r="2413" ht="25.8" customHeight="1">
      <c r="B2413" s="41" t="n"/>
      <c r="C2413" s="41" t="n"/>
      <c r="F2413" s="41" t="n"/>
      <c r="H2413" s="41" t="n"/>
    </row>
    <row r="2414" ht="25.8" customHeight="1">
      <c r="B2414" s="41" t="n"/>
      <c r="C2414" s="41" t="n"/>
      <c r="F2414" s="41" t="n"/>
      <c r="H2414" s="41" t="n"/>
    </row>
    <row r="2415" ht="25.8" customHeight="1">
      <c r="B2415" s="41" t="n"/>
      <c r="C2415" s="41" t="n"/>
      <c r="F2415" s="41" t="n"/>
      <c r="H2415" s="41" t="n"/>
    </row>
    <row r="2416" ht="25.8" customHeight="1">
      <c r="B2416" s="41" t="n"/>
      <c r="C2416" s="41" t="n"/>
      <c r="F2416" s="41" t="n"/>
      <c r="H2416" s="41" t="n"/>
    </row>
    <row r="2417" ht="25.8" customHeight="1">
      <c r="B2417" s="41" t="n"/>
      <c r="C2417" s="41" t="n"/>
      <c r="F2417" s="41" t="n"/>
      <c r="H2417" s="41" t="n"/>
    </row>
    <row r="2418" ht="25.8" customHeight="1">
      <c r="B2418" s="41" t="n"/>
      <c r="C2418" s="41" t="n"/>
      <c r="F2418" s="41" t="n"/>
      <c r="H2418" s="41" t="n"/>
    </row>
    <row r="2419" ht="25.8" customHeight="1">
      <c r="B2419" s="41" t="n"/>
      <c r="C2419" s="41" t="n"/>
      <c r="F2419" s="41" t="n"/>
      <c r="H2419" s="41" t="n"/>
    </row>
    <row r="2420" ht="25.8" customHeight="1">
      <c r="B2420" s="41" t="n"/>
      <c r="C2420" s="41" t="n"/>
      <c r="F2420" s="41" t="n"/>
      <c r="H2420" s="41" t="n"/>
    </row>
    <row r="2421" ht="25.8" customHeight="1">
      <c r="B2421" s="41" t="n"/>
      <c r="C2421" s="41" t="n"/>
      <c r="F2421" s="41" t="n"/>
      <c r="H2421" s="41" t="n"/>
    </row>
    <row r="2422" ht="25.8" customHeight="1">
      <c r="B2422" s="41" t="n"/>
      <c r="C2422" s="41" t="n"/>
      <c r="F2422" s="41" t="n"/>
      <c r="H2422" s="41" t="n"/>
    </row>
    <row r="2423" ht="25.8" customHeight="1">
      <c r="B2423" s="41" t="n"/>
      <c r="C2423" s="41" t="n"/>
      <c r="F2423" s="41" t="n"/>
      <c r="H2423" s="41" t="n"/>
    </row>
    <row r="2424" ht="25.8" customHeight="1">
      <c r="B2424" s="41" t="n"/>
      <c r="C2424" s="41" t="n"/>
      <c r="F2424" s="41" t="n"/>
      <c r="H2424" s="41" t="n"/>
    </row>
    <row r="2425" ht="25.8" customHeight="1">
      <c r="B2425" s="41" t="n"/>
      <c r="C2425" s="41" t="n"/>
      <c r="F2425" s="41" t="n"/>
      <c r="H2425" s="41" t="n"/>
    </row>
    <row r="2426" ht="25.8" customHeight="1">
      <c r="B2426" s="41" t="n"/>
      <c r="C2426" s="41" t="n"/>
      <c r="F2426" s="41" t="n"/>
      <c r="H2426" s="41" t="n"/>
    </row>
    <row r="2427" ht="25.8" customHeight="1">
      <c r="B2427" s="41" t="n"/>
      <c r="C2427" s="41" t="n"/>
      <c r="F2427" s="41" t="n"/>
      <c r="H2427" s="41" t="n"/>
    </row>
    <row r="2428" ht="25.8" customHeight="1">
      <c r="B2428" s="41" t="n"/>
      <c r="C2428" s="41" t="n"/>
      <c r="F2428" s="41" t="n"/>
      <c r="H2428" s="41" t="n"/>
    </row>
    <row r="2429" ht="25.8" customHeight="1">
      <c r="B2429" s="41" t="n"/>
      <c r="C2429" s="41" t="n"/>
      <c r="F2429" s="41" t="n"/>
      <c r="H2429" s="41" t="n"/>
    </row>
    <row r="2430" ht="25.8" customHeight="1">
      <c r="B2430" s="41" t="n"/>
      <c r="C2430" s="41" t="n"/>
      <c r="F2430" s="41" t="n"/>
      <c r="H2430" s="41" t="n"/>
    </row>
    <row r="2431" ht="25.8" customHeight="1">
      <c r="B2431" s="41" t="n"/>
      <c r="C2431" s="41" t="n"/>
      <c r="F2431" s="41" t="n"/>
      <c r="H2431" s="41" t="n"/>
    </row>
    <row r="2432" ht="25.8" customHeight="1">
      <c r="B2432" s="41" t="n"/>
      <c r="C2432" s="41" t="n"/>
      <c r="F2432" s="41" t="n"/>
      <c r="H2432" s="41" t="n"/>
    </row>
    <row r="2433" ht="25.8" customHeight="1">
      <c r="B2433" s="41" t="n"/>
      <c r="C2433" s="41" t="n"/>
      <c r="F2433" s="41" t="n"/>
      <c r="H2433" s="41" t="n"/>
    </row>
    <row r="2434" ht="25.8" customHeight="1">
      <c r="B2434" s="41" t="n"/>
      <c r="C2434" s="41" t="n"/>
      <c r="F2434" s="41" t="n"/>
      <c r="H2434" s="41" t="n"/>
    </row>
    <row r="2435" ht="25.8" customHeight="1">
      <c r="B2435" s="41" t="n"/>
      <c r="C2435" s="41" t="n"/>
      <c r="F2435" s="41" t="n"/>
      <c r="H2435" s="41" t="n"/>
    </row>
    <row r="2436" ht="25.8" customHeight="1">
      <c r="B2436" s="41" t="n"/>
      <c r="C2436" s="41" t="n"/>
      <c r="F2436" s="41" t="n"/>
      <c r="H2436" s="41" t="n"/>
    </row>
    <row r="2437" ht="25.8" customHeight="1">
      <c r="B2437" s="41" t="n"/>
      <c r="C2437" s="41" t="n"/>
      <c r="F2437" s="41" t="n"/>
      <c r="H2437" s="41" t="n"/>
    </row>
    <row r="2438" ht="25.8" customHeight="1">
      <c r="B2438" s="41" t="n"/>
      <c r="C2438" s="41" t="n"/>
      <c r="F2438" s="41" t="n"/>
      <c r="H2438" s="41" t="n"/>
    </row>
    <row r="2439" ht="25.8" customHeight="1">
      <c r="B2439" s="41" t="n"/>
      <c r="C2439" s="41" t="n"/>
      <c r="F2439" s="41" t="n"/>
      <c r="H2439" s="41" t="n"/>
    </row>
    <row r="2440" ht="25.8" customHeight="1">
      <c r="B2440" s="41" t="n"/>
      <c r="C2440" s="41" t="n"/>
      <c r="F2440" s="41" t="n"/>
      <c r="H2440" s="41" t="n"/>
    </row>
    <row r="2441" ht="25.8" customHeight="1">
      <c r="B2441" s="41" t="n"/>
      <c r="C2441" s="41" t="n"/>
      <c r="F2441" s="41" t="n"/>
      <c r="H2441" s="41" t="n"/>
    </row>
    <row r="2442" ht="25.8" customHeight="1">
      <c r="B2442" s="41" t="n"/>
      <c r="C2442" s="41" t="n"/>
      <c r="F2442" s="41" t="n"/>
      <c r="H2442" s="41" t="n"/>
    </row>
    <row r="2443" ht="25.8" customHeight="1">
      <c r="B2443" s="41" t="n"/>
      <c r="C2443" s="41" t="n"/>
      <c r="F2443" s="41" t="n"/>
      <c r="H2443" s="41" t="n"/>
    </row>
    <row r="2444" ht="25.8" customHeight="1">
      <c r="B2444" s="41" t="n"/>
      <c r="C2444" s="41" t="n"/>
      <c r="F2444" s="41" t="n"/>
      <c r="H2444" s="41" t="n"/>
    </row>
    <row r="2445" ht="25.8" customHeight="1">
      <c r="B2445" s="41" t="n"/>
      <c r="C2445" s="41" t="n"/>
      <c r="F2445" s="41" t="n"/>
      <c r="H2445" s="41" t="n"/>
    </row>
    <row r="2446" ht="25.8" customHeight="1">
      <c r="B2446" s="41" t="n"/>
      <c r="C2446" s="41" t="n"/>
      <c r="F2446" s="41" t="n"/>
      <c r="H2446" s="41" t="n"/>
    </row>
    <row r="2447" ht="25.8" customHeight="1">
      <c r="B2447" s="41" t="n"/>
      <c r="C2447" s="41" t="n"/>
      <c r="F2447" s="41" t="n"/>
      <c r="H2447" s="41" t="n"/>
    </row>
    <row r="2448" ht="25.8" customHeight="1">
      <c r="B2448" s="41" t="n"/>
      <c r="C2448" s="41" t="n"/>
      <c r="F2448" s="41" t="n"/>
      <c r="H2448" s="41" t="n"/>
    </row>
    <row r="2449" ht="25.8" customHeight="1">
      <c r="B2449" s="41" t="n"/>
      <c r="C2449" s="41" t="n"/>
      <c r="F2449" s="41" t="n"/>
      <c r="H2449" s="41" t="n"/>
    </row>
    <row r="2450" ht="25.8" customHeight="1">
      <c r="B2450" s="41" t="n"/>
      <c r="C2450" s="41" t="n"/>
      <c r="F2450" s="41" t="n"/>
      <c r="H2450" s="41" t="n"/>
    </row>
    <row r="2451" ht="25.8" customHeight="1">
      <c r="B2451" s="41" t="n"/>
      <c r="C2451" s="41" t="n"/>
      <c r="F2451" s="41" t="n"/>
      <c r="H2451" s="41" t="n"/>
    </row>
    <row r="2452" ht="25.8" customHeight="1">
      <c r="B2452" s="41" t="n"/>
      <c r="C2452" s="41" t="n"/>
      <c r="F2452" s="41" t="n"/>
      <c r="H2452" s="41" t="n"/>
    </row>
    <row r="2453" ht="25.8" customHeight="1">
      <c r="B2453" s="41" t="n"/>
      <c r="C2453" s="41" t="n"/>
      <c r="F2453" s="41" t="n"/>
      <c r="H2453" s="41" t="n"/>
    </row>
    <row r="2454" ht="25.8" customHeight="1">
      <c r="B2454" s="41" t="n"/>
      <c r="C2454" s="41" t="n"/>
      <c r="F2454" s="41" t="n"/>
      <c r="H2454" s="41" t="n"/>
    </row>
    <row r="2455" ht="25.8" customHeight="1">
      <c r="B2455" s="41" t="n"/>
      <c r="C2455" s="41" t="n"/>
      <c r="F2455" s="41" t="n"/>
      <c r="H2455" s="41" t="n"/>
    </row>
    <row r="2456" ht="25.8" customHeight="1">
      <c r="B2456" s="41" t="n"/>
      <c r="C2456" s="41" t="n"/>
      <c r="F2456" s="41" t="n"/>
      <c r="H2456" s="41" t="n"/>
    </row>
    <row r="2457" ht="25.8" customHeight="1">
      <c r="B2457" s="41" t="n"/>
      <c r="C2457" s="41" t="n"/>
      <c r="F2457" s="41" t="n"/>
      <c r="H2457" s="41" t="n"/>
    </row>
    <row r="2458" ht="25.8" customHeight="1">
      <c r="B2458" s="41" t="n"/>
      <c r="C2458" s="41" t="n"/>
      <c r="F2458" s="41" t="n"/>
      <c r="H2458" s="41" t="n"/>
    </row>
    <row r="2459" ht="25.8" customHeight="1">
      <c r="B2459" s="41" t="n"/>
      <c r="C2459" s="41" t="n"/>
      <c r="F2459" s="41" t="n"/>
      <c r="H2459" s="41" t="n"/>
    </row>
    <row r="2460" ht="25.8" customHeight="1">
      <c r="B2460" s="41" t="n"/>
      <c r="C2460" s="41" t="n"/>
      <c r="F2460" s="41" t="n"/>
      <c r="H2460" s="41" t="n"/>
    </row>
    <row r="2461" ht="25.8" customHeight="1">
      <c r="B2461" s="41" t="n"/>
      <c r="C2461" s="41" t="n"/>
      <c r="F2461" s="41" t="n"/>
      <c r="H2461" s="41" t="n"/>
    </row>
    <row r="2462" ht="25.8" customHeight="1">
      <c r="B2462" s="41" t="n"/>
      <c r="C2462" s="41" t="n"/>
      <c r="F2462" s="41" t="n"/>
      <c r="H2462" s="41" t="n"/>
    </row>
    <row r="2463" ht="25.8" customHeight="1">
      <c r="B2463" s="41" t="n"/>
      <c r="C2463" s="41" t="n"/>
      <c r="F2463" s="41" t="n"/>
      <c r="H2463" s="41" t="n"/>
    </row>
    <row r="2464" ht="25.8" customHeight="1">
      <c r="B2464" s="41" t="n"/>
      <c r="C2464" s="41" t="n"/>
      <c r="F2464" s="41" t="n"/>
      <c r="H2464" s="41" t="n"/>
    </row>
    <row r="2465" ht="25.8" customHeight="1">
      <c r="B2465" s="41" t="n"/>
      <c r="C2465" s="41" t="n"/>
      <c r="F2465" s="41" t="n"/>
      <c r="H2465" s="41" t="n"/>
    </row>
    <row r="2466" ht="25.8" customHeight="1">
      <c r="B2466" s="41" t="n"/>
      <c r="C2466" s="41" t="n"/>
      <c r="F2466" s="41" t="n"/>
      <c r="H2466" s="41" t="n"/>
    </row>
    <row r="2467" ht="25.8" customHeight="1">
      <c r="B2467" s="41" t="n"/>
      <c r="C2467" s="41" t="n"/>
      <c r="F2467" s="41" t="n"/>
      <c r="H2467" s="41" t="n"/>
    </row>
    <row r="2468" ht="25.8" customHeight="1">
      <c r="B2468" s="41" t="n"/>
      <c r="C2468" s="41" t="n"/>
      <c r="F2468" s="41" t="n"/>
      <c r="H2468" s="41" t="n"/>
    </row>
    <row r="2469" ht="25.8" customHeight="1">
      <c r="B2469" s="41" t="n"/>
      <c r="C2469" s="41" t="n"/>
      <c r="F2469" s="41" t="n"/>
      <c r="H2469" s="41" t="n"/>
    </row>
    <row r="2470" ht="25.8" customHeight="1">
      <c r="B2470" s="41" t="n"/>
      <c r="C2470" s="41" t="n"/>
      <c r="F2470" s="41" t="n"/>
      <c r="H2470" s="41" t="n"/>
    </row>
    <row r="2471" ht="25.8" customHeight="1">
      <c r="B2471" s="41" t="n"/>
      <c r="C2471" s="41" t="n"/>
      <c r="F2471" s="41" t="n"/>
      <c r="H2471" s="41" t="n"/>
    </row>
    <row r="2472" ht="25.8" customHeight="1">
      <c r="B2472" s="41" t="n"/>
      <c r="C2472" s="41" t="n"/>
      <c r="F2472" s="41" t="n"/>
      <c r="H2472" s="41" t="n"/>
    </row>
    <row r="2473" ht="25.8" customHeight="1">
      <c r="B2473" s="41" t="n"/>
      <c r="C2473" s="41" t="n"/>
      <c r="F2473" s="41" t="n"/>
      <c r="H2473" s="41" t="n"/>
    </row>
    <row r="2474" ht="25.8" customHeight="1">
      <c r="B2474" s="41" t="n"/>
      <c r="C2474" s="41" t="n"/>
      <c r="F2474" s="41" t="n"/>
      <c r="H2474" s="41" t="n"/>
    </row>
    <row r="2475" ht="25.8" customHeight="1">
      <c r="B2475" s="41" t="n"/>
      <c r="C2475" s="41" t="n"/>
      <c r="F2475" s="41" t="n"/>
      <c r="H2475" s="41" t="n"/>
    </row>
    <row r="2476" ht="25.8" customHeight="1">
      <c r="B2476" s="41" t="n"/>
      <c r="C2476" s="41" t="n"/>
      <c r="F2476" s="41" t="n"/>
      <c r="H2476" s="41" t="n"/>
    </row>
    <row r="2477" ht="25.8" customHeight="1">
      <c r="B2477" s="41" t="n"/>
      <c r="C2477" s="41" t="n"/>
      <c r="F2477" s="41" t="n"/>
      <c r="H2477" s="41" t="n"/>
    </row>
    <row r="2478" ht="25.8" customHeight="1">
      <c r="B2478" s="41" t="n"/>
      <c r="C2478" s="41" t="n"/>
      <c r="F2478" s="41" t="n"/>
      <c r="H2478" s="41" t="n"/>
    </row>
    <row r="2479" ht="25.8" customHeight="1">
      <c r="B2479" s="41" t="n"/>
      <c r="C2479" s="41" t="n"/>
      <c r="F2479" s="41" t="n"/>
      <c r="H2479" s="41" t="n"/>
    </row>
    <row r="2480" ht="25.8" customHeight="1">
      <c r="B2480" s="41" t="n"/>
      <c r="C2480" s="41" t="n"/>
      <c r="F2480" s="41" t="n"/>
      <c r="H2480" s="41" t="n"/>
    </row>
    <row r="2481" ht="25.8" customHeight="1">
      <c r="B2481" s="41" t="n"/>
      <c r="C2481" s="41" t="n"/>
      <c r="F2481" s="41" t="n"/>
      <c r="H2481" s="41" t="n"/>
    </row>
    <row r="2482" ht="25.8" customHeight="1">
      <c r="B2482" s="41" t="n"/>
      <c r="C2482" s="41" t="n"/>
      <c r="F2482" s="41" t="n"/>
      <c r="H2482" s="41" t="n"/>
    </row>
    <row r="2483" ht="25.8" customHeight="1">
      <c r="B2483" s="41" t="n"/>
      <c r="C2483" s="41" t="n"/>
      <c r="F2483" s="41" t="n"/>
      <c r="H2483" s="41" t="n"/>
    </row>
    <row r="2484" ht="25.8" customHeight="1">
      <c r="B2484" s="41" t="n"/>
      <c r="C2484" s="41" t="n"/>
      <c r="F2484" s="41" t="n"/>
      <c r="H2484" s="41" t="n"/>
    </row>
    <row r="2485" ht="25.8" customHeight="1">
      <c r="B2485" s="41" t="n"/>
      <c r="C2485" s="41" t="n"/>
      <c r="F2485" s="41" t="n"/>
      <c r="H2485" s="41" t="n"/>
    </row>
    <row r="2486" ht="25.8" customHeight="1">
      <c r="B2486" s="41" t="n"/>
      <c r="C2486" s="41" t="n"/>
      <c r="F2486" s="41" t="n"/>
      <c r="H2486" s="41" t="n"/>
    </row>
    <row r="2487" ht="25.8" customHeight="1">
      <c r="B2487" s="41" t="n"/>
      <c r="C2487" s="41" t="n"/>
      <c r="F2487" s="41" t="n"/>
      <c r="H2487" s="41" t="n"/>
    </row>
    <row r="2488" ht="25.8" customHeight="1">
      <c r="B2488" s="41" t="n"/>
      <c r="C2488" s="41" t="n"/>
      <c r="F2488" s="41" t="n"/>
      <c r="H2488" s="41" t="n"/>
    </row>
    <row r="2489" ht="25.8" customHeight="1">
      <c r="B2489" s="41" t="n"/>
      <c r="C2489" s="41" t="n"/>
      <c r="F2489" s="41" t="n"/>
      <c r="H2489" s="41" t="n"/>
    </row>
    <row r="2490" ht="25.8" customHeight="1">
      <c r="B2490" s="41" t="n"/>
      <c r="C2490" s="41" t="n"/>
      <c r="F2490" s="41" t="n"/>
      <c r="H2490" s="41" t="n"/>
    </row>
    <row r="2491" ht="25.8" customHeight="1">
      <c r="B2491" s="41" t="n"/>
      <c r="C2491" s="41" t="n"/>
      <c r="F2491" s="41" t="n"/>
      <c r="H2491" s="41" t="n"/>
    </row>
    <row r="2492" ht="25.8" customHeight="1">
      <c r="B2492" s="41" t="n"/>
      <c r="C2492" s="41" t="n"/>
      <c r="F2492" s="41" t="n"/>
      <c r="H2492" s="41" t="n"/>
    </row>
    <row r="2493" ht="25.8" customHeight="1">
      <c r="B2493" s="41" t="n"/>
      <c r="C2493" s="41" t="n"/>
      <c r="F2493" s="41" t="n"/>
      <c r="H2493" s="41" t="n"/>
    </row>
    <row r="2494" ht="25.8" customHeight="1">
      <c r="B2494" s="41" t="n"/>
      <c r="C2494" s="41" t="n"/>
      <c r="F2494" s="41" t="n"/>
      <c r="H2494" s="41" t="n"/>
    </row>
    <row r="2495" ht="25.8" customHeight="1">
      <c r="B2495" s="41" t="n"/>
      <c r="C2495" s="41" t="n"/>
      <c r="F2495" s="41" t="n"/>
      <c r="H2495" s="41" t="n"/>
    </row>
    <row r="2496" ht="25.8" customHeight="1">
      <c r="B2496" s="41" t="n"/>
      <c r="C2496" s="41" t="n"/>
      <c r="F2496" s="41" t="n"/>
      <c r="H2496" s="41" t="n"/>
    </row>
    <row r="2497" ht="25.8" customHeight="1">
      <c r="B2497" s="41" t="n"/>
      <c r="C2497" s="41" t="n"/>
      <c r="F2497" s="41" t="n"/>
      <c r="H2497" s="41" t="n"/>
    </row>
    <row r="2498" ht="25.8" customHeight="1">
      <c r="B2498" s="41" t="n"/>
      <c r="C2498" s="41" t="n"/>
      <c r="F2498" s="41" t="n"/>
      <c r="H2498" s="41" t="n"/>
    </row>
    <row r="2499" ht="25.8" customHeight="1">
      <c r="B2499" s="41" t="n"/>
      <c r="C2499" s="41" t="n"/>
      <c r="F2499" s="41" t="n"/>
      <c r="H2499" s="41" t="n"/>
    </row>
    <row r="2500" ht="25.8" customHeight="1">
      <c r="B2500" s="41" t="n"/>
      <c r="C2500" s="41" t="n"/>
      <c r="F2500" s="41" t="n"/>
      <c r="H2500" s="41" t="n"/>
    </row>
    <row r="2501" ht="25.8" customHeight="1">
      <c r="B2501" s="41" t="n"/>
      <c r="C2501" s="41" t="n"/>
      <c r="F2501" s="41" t="n"/>
      <c r="H2501" s="41" t="n"/>
    </row>
    <row r="2502" ht="25.8" customHeight="1">
      <c r="B2502" s="41" t="n"/>
      <c r="C2502" s="41" t="n"/>
      <c r="F2502" s="41" t="n"/>
      <c r="H2502" s="41" t="n"/>
    </row>
    <row r="2503" ht="25.8" customHeight="1">
      <c r="B2503" s="41" t="n"/>
      <c r="C2503" s="41" t="n"/>
      <c r="F2503" s="41" t="n"/>
      <c r="H2503" s="41" t="n"/>
    </row>
    <row r="2504" ht="25.8" customHeight="1">
      <c r="B2504" s="41" t="n"/>
      <c r="C2504" s="41" t="n"/>
      <c r="F2504" s="41" t="n"/>
      <c r="H2504" s="41" t="n"/>
    </row>
    <row r="2505" ht="25.8" customHeight="1">
      <c r="B2505" s="41" t="n"/>
      <c r="C2505" s="41" t="n"/>
      <c r="F2505" s="41" t="n"/>
      <c r="H2505" s="41" t="n"/>
    </row>
    <row r="2506" ht="25.8" customHeight="1">
      <c r="B2506" s="41" t="n"/>
      <c r="C2506" s="41" t="n"/>
      <c r="F2506" s="41" t="n"/>
      <c r="H2506" s="41" t="n"/>
    </row>
    <row r="2507" ht="25.8" customHeight="1">
      <c r="B2507" s="41" t="n"/>
      <c r="C2507" s="41" t="n"/>
      <c r="F2507" s="41" t="n"/>
      <c r="H2507" s="41" t="n"/>
    </row>
    <row r="2508" ht="25.8" customHeight="1">
      <c r="B2508" s="41" t="n"/>
      <c r="C2508" s="41" t="n"/>
      <c r="F2508" s="41" t="n"/>
      <c r="H2508" s="41" t="n"/>
    </row>
    <row r="2509" ht="25.8" customHeight="1">
      <c r="B2509" s="41" t="n"/>
      <c r="C2509" s="41" t="n"/>
      <c r="F2509" s="41" t="n"/>
      <c r="H2509" s="41" t="n"/>
    </row>
    <row r="2510" ht="25.8" customHeight="1">
      <c r="B2510" s="41" t="n"/>
      <c r="C2510" s="41" t="n"/>
      <c r="F2510" s="41" t="n"/>
      <c r="H2510" s="41" t="n"/>
    </row>
    <row r="2511" ht="25.8" customHeight="1">
      <c r="B2511" s="41" t="n"/>
      <c r="C2511" s="41" t="n"/>
      <c r="F2511" s="41" t="n"/>
      <c r="H2511" s="41" t="n"/>
    </row>
    <row r="2512" ht="25.8" customHeight="1">
      <c r="B2512" s="41" t="n"/>
      <c r="C2512" s="41" t="n"/>
      <c r="F2512" s="41" t="n"/>
      <c r="H2512" s="41" t="n"/>
    </row>
    <row r="2513" ht="25.8" customHeight="1">
      <c r="B2513" s="41" t="n"/>
      <c r="C2513" s="41" t="n"/>
      <c r="F2513" s="41" t="n"/>
      <c r="H2513" s="41" t="n"/>
    </row>
    <row r="2514" ht="25.8" customHeight="1">
      <c r="B2514" s="41" t="n"/>
      <c r="C2514" s="41" t="n"/>
      <c r="F2514" s="41" t="n"/>
      <c r="H2514" s="41" t="n"/>
    </row>
    <row r="2515" ht="25.8" customHeight="1">
      <c r="B2515" s="41" t="n"/>
      <c r="C2515" s="41" t="n"/>
      <c r="F2515" s="41" t="n"/>
      <c r="H2515" s="41" t="n"/>
    </row>
    <row r="2516" ht="25.8" customHeight="1">
      <c r="B2516" s="41" t="n"/>
      <c r="C2516" s="41" t="n"/>
      <c r="F2516" s="41" t="n"/>
      <c r="H2516" s="41" t="n"/>
    </row>
    <row r="2517" ht="25.8" customHeight="1">
      <c r="B2517" s="41" t="n"/>
      <c r="C2517" s="41" t="n"/>
      <c r="F2517" s="41" t="n"/>
      <c r="H2517" s="41" t="n"/>
    </row>
    <row r="2518" ht="25.8" customHeight="1">
      <c r="B2518" s="41" t="n"/>
      <c r="C2518" s="41" t="n"/>
      <c r="F2518" s="41" t="n"/>
      <c r="H2518" s="41" t="n"/>
    </row>
    <row r="2519" ht="25.8" customHeight="1">
      <c r="B2519" s="41" t="n"/>
      <c r="C2519" s="41" t="n"/>
      <c r="F2519" s="41" t="n"/>
      <c r="H2519" s="41" t="n"/>
    </row>
    <row r="2520" ht="25.8" customHeight="1">
      <c r="B2520" s="41" t="n"/>
      <c r="C2520" s="41" t="n"/>
      <c r="F2520" s="41" t="n"/>
      <c r="H2520" s="41" t="n"/>
    </row>
    <row r="2521" ht="25.8" customHeight="1">
      <c r="B2521" s="41" t="n"/>
      <c r="C2521" s="41" t="n"/>
      <c r="F2521" s="41" t="n"/>
      <c r="H2521" s="41" t="n"/>
    </row>
    <row r="2522" ht="25.8" customHeight="1">
      <c r="B2522" s="41" t="n"/>
      <c r="C2522" s="41" t="n"/>
      <c r="F2522" s="41" t="n"/>
      <c r="H2522" s="41" t="n"/>
    </row>
    <row r="2523" ht="25.8" customHeight="1">
      <c r="B2523" s="41" t="n"/>
      <c r="C2523" s="41" t="n"/>
      <c r="F2523" s="41" t="n"/>
      <c r="H2523" s="41" t="n"/>
    </row>
    <row r="2524" ht="25.8" customHeight="1">
      <c r="B2524" s="41" t="n"/>
      <c r="C2524" s="41" t="n"/>
      <c r="F2524" s="41" t="n"/>
      <c r="H2524" s="41" t="n"/>
    </row>
    <row r="2525" ht="25.8" customHeight="1">
      <c r="B2525" s="41" t="n"/>
      <c r="C2525" s="41" t="n"/>
      <c r="F2525" s="41" t="n"/>
      <c r="H2525" s="41" t="n"/>
    </row>
    <row r="2526" ht="25.8" customHeight="1">
      <c r="B2526" s="41" t="n"/>
      <c r="C2526" s="41" t="n"/>
      <c r="F2526" s="41" t="n"/>
      <c r="H2526" s="41" t="n"/>
    </row>
    <row r="2527" ht="25.8" customHeight="1">
      <c r="B2527" s="41" t="n"/>
      <c r="C2527" s="41" t="n"/>
      <c r="F2527" s="41" t="n"/>
      <c r="H2527" s="41" t="n"/>
    </row>
    <row r="2528" ht="25.8" customHeight="1">
      <c r="B2528" s="41" t="n"/>
      <c r="C2528" s="41" t="n"/>
      <c r="F2528" s="41" t="n"/>
      <c r="H2528" s="41" t="n"/>
    </row>
    <row r="2529" ht="25.8" customHeight="1">
      <c r="B2529" s="41" t="n"/>
      <c r="C2529" s="41" t="n"/>
      <c r="F2529" s="41" t="n"/>
      <c r="H2529" s="41" t="n"/>
    </row>
    <row r="2530" ht="25.8" customHeight="1">
      <c r="B2530" s="41" t="n"/>
      <c r="C2530" s="41" t="n"/>
      <c r="F2530" s="41" t="n"/>
      <c r="H2530" s="41" t="n"/>
    </row>
    <row r="2531" ht="25.8" customHeight="1">
      <c r="B2531" s="41" t="n"/>
      <c r="C2531" s="41" t="n"/>
      <c r="F2531" s="41" t="n"/>
      <c r="H2531" s="41" t="n"/>
    </row>
    <row r="2532" ht="25.8" customHeight="1">
      <c r="B2532" s="41" t="n"/>
      <c r="C2532" s="41" t="n"/>
      <c r="F2532" s="41" t="n"/>
      <c r="H2532" s="41" t="n"/>
    </row>
    <row r="2533" ht="25.8" customHeight="1">
      <c r="B2533" s="41" t="n"/>
      <c r="C2533" s="41" t="n"/>
      <c r="F2533" s="41" t="n"/>
      <c r="H2533" s="41" t="n"/>
    </row>
    <row r="2534" ht="25.8" customHeight="1">
      <c r="B2534" s="41" t="n"/>
      <c r="C2534" s="41" t="n"/>
      <c r="F2534" s="41" t="n"/>
      <c r="H2534" s="41" t="n"/>
    </row>
    <row r="2535" ht="25.8" customHeight="1">
      <c r="B2535" s="41" t="n"/>
      <c r="C2535" s="41" t="n"/>
      <c r="F2535" s="41" t="n"/>
      <c r="H2535" s="41" t="n"/>
    </row>
    <row r="2536" ht="25.8" customHeight="1">
      <c r="B2536" s="41" t="n"/>
      <c r="C2536" s="41" t="n"/>
      <c r="F2536" s="41" t="n"/>
      <c r="H2536" s="41" t="n"/>
    </row>
    <row r="2537" ht="25.8" customHeight="1">
      <c r="B2537" s="41" t="n"/>
      <c r="C2537" s="41" t="n"/>
      <c r="F2537" s="41" t="n"/>
      <c r="H2537" s="41" t="n"/>
    </row>
    <row r="2538" ht="25.8" customHeight="1">
      <c r="B2538" s="41" t="n"/>
      <c r="C2538" s="41" t="n"/>
      <c r="F2538" s="41" t="n"/>
      <c r="H2538" s="41" t="n"/>
    </row>
    <row r="2539" ht="25.8" customHeight="1">
      <c r="B2539" s="41" t="n"/>
      <c r="C2539" s="41" t="n"/>
      <c r="F2539" s="41" t="n"/>
      <c r="H2539" s="41" t="n"/>
    </row>
    <row r="2540" ht="25.8" customHeight="1">
      <c r="B2540" s="41" t="n"/>
      <c r="C2540" s="41" t="n"/>
      <c r="F2540" s="41" t="n"/>
      <c r="H2540" s="41" t="n"/>
    </row>
    <row r="2541" ht="25.8" customHeight="1">
      <c r="B2541" s="41" t="n"/>
      <c r="C2541" s="41" t="n"/>
      <c r="F2541" s="41" t="n"/>
      <c r="H2541" s="41" t="n"/>
    </row>
    <row r="2542" ht="25.8" customHeight="1">
      <c r="B2542" s="41" t="n"/>
      <c r="C2542" s="41" t="n"/>
      <c r="F2542" s="41" t="n"/>
      <c r="H2542" s="41" t="n"/>
    </row>
    <row r="2543" ht="25.8" customHeight="1">
      <c r="B2543" s="41" t="n"/>
      <c r="C2543" s="41" t="n"/>
      <c r="F2543" s="41" t="n"/>
      <c r="H2543" s="41" t="n"/>
    </row>
    <row r="2544" ht="25.8" customHeight="1">
      <c r="B2544" s="41" t="n"/>
      <c r="C2544" s="41" t="n"/>
      <c r="F2544" s="41" t="n"/>
      <c r="H2544" s="41" t="n"/>
    </row>
    <row r="2545" ht="25.8" customHeight="1">
      <c r="B2545" s="41" t="n"/>
      <c r="C2545" s="41" t="n"/>
      <c r="F2545" s="41" t="n"/>
      <c r="H2545" s="41" t="n"/>
    </row>
    <row r="2546" ht="25.8" customHeight="1">
      <c r="B2546" s="41" t="n"/>
      <c r="C2546" s="41" t="n"/>
      <c r="F2546" s="41" t="n"/>
      <c r="H2546" s="41" t="n"/>
    </row>
    <row r="2547" ht="25.8" customHeight="1">
      <c r="B2547" s="41" t="n"/>
      <c r="C2547" s="41" t="n"/>
      <c r="F2547" s="41" t="n"/>
      <c r="H2547" s="41" t="n"/>
    </row>
    <row r="2548" ht="25.8" customHeight="1">
      <c r="B2548" s="41" t="n"/>
      <c r="C2548" s="41" t="n"/>
      <c r="F2548" s="41" t="n"/>
      <c r="H2548" s="41" t="n"/>
    </row>
    <row r="2549" ht="25.8" customHeight="1">
      <c r="B2549" s="41" t="n"/>
      <c r="C2549" s="41" t="n"/>
      <c r="F2549" s="41" t="n"/>
      <c r="H2549" s="41" t="n"/>
    </row>
    <row r="2550" ht="25.8" customHeight="1">
      <c r="B2550" s="41" t="n"/>
      <c r="C2550" s="41" t="n"/>
      <c r="F2550" s="41" t="n"/>
      <c r="H2550" s="41" t="n"/>
    </row>
    <row r="2551" ht="25.8" customHeight="1">
      <c r="B2551" s="41" t="n"/>
      <c r="C2551" s="41" t="n"/>
      <c r="F2551" s="41" t="n"/>
      <c r="H2551" s="41" t="n"/>
    </row>
    <row r="2552" ht="25.8" customHeight="1">
      <c r="B2552" s="41" t="n"/>
      <c r="C2552" s="41" t="n"/>
      <c r="F2552" s="41" t="n"/>
      <c r="H2552" s="41" t="n"/>
    </row>
    <row r="2553" ht="25.8" customHeight="1">
      <c r="B2553" s="41" t="n"/>
      <c r="C2553" s="41" t="n"/>
      <c r="F2553" s="41" t="n"/>
      <c r="H2553" s="41" t="n"/>
    </row>
    <row r="2554" ht="25.8" customHeight="1">
      <c r="B2554" s="41" t="n"/>
      <c r="C2554" s="41" t="n"/>
      <c r="F2554" s="41" t="n"/>
      <c r="H2554" s="41" t="n"/>
    </row>
    <row r="2555" ht="25.8" customHeight="1">
      <c r="B2555" s="41" t="n"/>
      <c r="C2555" s="41" t="n"/>
      <c r="F2555" s="41" t="n"/>
      <c r="H2555" s="41" t="n"/>
    </row>
    <row r="2556" ht="25.8" customHeight="1">
      <c r="B2556" s="41" t="n"/>
      <c r="C2556" s="41" t="n"/>
      <c r="F2556" s="41" t="n"/>
      <c r="H2556" s="41" t="n"/>
    </row>
    <row r="2557" ht="25.8" customHeight="1">
      <c r="B2557" s="41" t="n"/>
      <c r="C2557" s="41" t="n"/>
      <c r="F2557" s="41" t="n"/>
      <c r="H2557" s="41" t="n"/>
    </row>
    <row r="2558" ht="25.8" customHeight="1">
      <c r="B2558" s="41" t="n"/>
      <c r="C2558" s="41" t="n"/>
      <c r="F2558" s="41" t="n"/>
      <c r="H2558" s="41" t="n"/>
    </row>
    <row r="2559" ht="25.8" customHeight="1">
      <c r="B2559" s="41" t="n"/>
      <c r="C2559" s="41" t="n"/>
      <c r="F2559" s="41" t="n"/>
      <c r="H2559" s="41" t="n"/>
    </row>
    <row r="2560" ht="25.8" customHeight="1">
      <c r="B2560" s="41" t="n"/>
      <c r="C2560" s="41" t="n"/>
      <c r="F2560" s="41" t="n"/>
      <c r="H2560" s="41" t="n"/>
    </row>
    <row r="2561" ht="25.8" customHeight="1">
      <c r="B2561" s="41" t="n"/>
      <c r="C2561" s="41" t="n"/>
      <c r="F2561" s="41" t="n"/>
      <c r="H2561" s="41" t="n"/>
    </row>
    <row r="2562" ht="25.8" customHeight="1">
      <c r="B2562" s="41" t="n"/>
      <c r="C2562" s="41" t="n"/>
      <c r="F2562" s="41" t="n"/>
      <c r="H2562" s="41" t="n"/>
    </row>
    <row r="2563" ht="25.8" customHeight="1">
      <c r="B2563" s="41" t="n"/>
      <c r="C2563" s="41" t="n"/>
      <c r="F2563" s="41" t="n"/>
      <c r="H2563" s="41" t="n"/>
    </row>
    <row r="2564" ht="25.8" customHeight="1">
      <c r="B2564" s="41" t="n"/>
      <c r="C2564" s="41" t="n"/>
      <c r="F2564" s="41" t="n"/>
      <c r="H2564" s="41" t="n"/>
    </row>
    <row r="2565" ht="25.8" customHeight="1">
      <c r="B2565" s="41" t="n"/>
      <c r="C2565" s="41" t="n"/>
      <c r="F2565" s="41" t="n"/>
      <c r="H2565" s="41" t="n"/>
    </row>
    <row r="2566" ht="25.8" customHeight="1">
      <c r="B2566" s="41" t="n"/>
      <c r="C2566" s="41" t="n"/>
      <c r="F2566" s="41" t="n"/>
      <c r="H2566" s="41" t="n"/>
    </row>
    <row r="2567" ht="25.8" customHeight="1">
      <c r="B2567" s="41" t="n"/>
      <c r="C2567" s="41" t="n"/>
      <c r="F2567" s="41" t="n"/>
      <c r="H2567" s="41" t="n"/>
    </row>
    <row r="2568" ht="25.8" customHeight="1">
      <c r="B2568" s="41" t="n"/>
      <c r="C2568" s="41" t="n"/>
      <c r="F2568" s="41" t="n"/>
      <c r="H2568" s="41" t="n"/>
    </row>
    <row r="2569" ht="25.8" customHeight="1">
      <c r="B2569" s="41" t="n"/>
      <c r="C2569" s="41" t="n"/>
      <c r="F2569" s="41" t="n"/>
      <c r="H2569" s="41" t="n"/>
    </row>
    <row r="2570" ht="25.8" customHeight="1">
      <c r="B2570" s="41" t="n"/>
      <c r="C2570" s="41" t="n"/>
      <c r="F2570" s="41" t="n"/>
      <c r="H2570" s="41" t="n"/>
    </row>
    <row r="2571" ht="25.8" customHeight="1">
      <c r="B2571" s="41" t="n"/>
      <c r="C2571" s="41" t="n"/>
      <c r="F2571" s="41" t="n"/>
      <c r="H2571" s="41" t="n"/>
    </row>
    <row r="2572" ht="25.8" customHeight="1">
      <c r="B2572" s="41" t="n"/>
      <c r="C2572" s="41" t="n"/>
      <c r="F2572" s="41" t="n"/>
      <c r="H2572" s="41" t="n"/>
    </row>
    <row r="2573" ht="25.8" customHeight="1">
      <c r="B2573" s="41" t="n"/>
      <c r="C2573" s="41" t="n"/>
      <c r="F2573" s="41" t="n"/>
      <c r="H2573" s="41" t="n"/>
    </row>
    <row r="2574" ht="25.8" customHeight="1">
      <c r="B2574" s="41" t="n"/>
      <c r="C2574" s="41" t="n"/>
      <c r="F2574" s="41" t="n"/>
      <c r="H2574" s="41" t="n"/>
    </row>
    <row r="2575" ht="25.8" customHeight="1">
      <c r="B2575" s="41" t="n"/>
      <c r="C2575" s="41" t="n"/>
      <c r="F2575" s="41" t="n"/>
      <c r="H2575" s="41" t="n"/>
    </row>
    <row r="2576" ht="25.8" customHeight="1">
      <c r="B2576" s="41" t="n"/>
      <c r="C2576" s="41" t="n"/>
      <c r="F2576" s="41" t="n"/>
      <c r="H2576" s="41" t="n"/>
    </row>
    <row r="2577" ht="25.8" customHeight="1">
      <c r="B2577" s="41" t="n"/>
      <c r="C2577" s="41" t="n"/>
      <c r="F2577" s="41" t="n"/>
      <c r="H2577" s="41" t="n"/>
    </row>
    <row r="2578" ht="25.8" customHeight="1">
      <c r="B2578" s="41" t="n"/>
      <c r="C2578" s="41" t="n"/>
      <c r="F2578" s="41" t="n"/>
      <c r="H2578" s="41" t="n"/>
    </row>
    <row r="2579" ht="25.8" customHeight="1">
      <c r="B2579" s="41" t="n"/>
      <c r="C2579" s="41" t="n"/>
      <c r="F2579" s="41" t="n"/>
      <c r="H2579" s="41" t="n"/>
    </row>
    <row r="2580" ht="25.8" customHeight="1">
      <c r="B2580" s="41" t="n"/>
      <c r="C2580" s="41" t="n"/>
      <c r="F2580" s="41" t="n"/>
      <c r="H2580" s="41" t="n"/>
    </row>
    <row r="2581" ht="25.8" customHeight="1">
      <c r="B2581" s="41" t="n"/>
      <c r="C2581" s="41" t="n"/>
      <c r="F2581" s="41" t="n"/>
      <c r="H2581" s="41" t="n"/>
    </row>
    <row r="2582" ht="25.8" customHeight="1">
      <c r="B2582" s="41" t="n"/>
      <c r="C2582" s="41" t="n"/>
      <c r="F2582" s="41" t="n"/>
      <c r="H2582" s="41" t="n"/>
    </row>
    <row r="2583" ht="25.8" customHeight="1">
      <c r="B2583" s="41" t="n"/>
      <c r="C2583" s="41" t="n"/>
      <c r="F2583" s="41" t="n"/>
      <c r="H2583" s="41" t="n"/>
    </row>
    <row r="2584" ht="25.8" customHeight="1">
      <c r="B2584" s="41" t="n"/>
      <c r="C2584" s="41" t="n"/>
      <c r="F2584" s="41" t="n"/>
      <c r="H2584" s="41" t="n"/>
    </row>
    <row r="2585" ht="25.8" customHeight="1">
      <c r="B2585" s="41" t="n"/>
      <c r="C2585" s="41" t="n"/>
      <c r="F2585" s="41" t="n"/>
      <c r="H2585" s="41" t="n"/>
    </row>
    <row r="2586" ht="25.8" customHeight="1">
      <c r="B2586" s="41" t="n"/>
      <c r="C2586" s="41" t="n"/>
      <c r="F2586" s="41" t="n"/>
      <c r="H2586" s="41" t="n"/>
    </row>
    <row r="2587" ht="25.8" customHeight="1">
      <c r="B2587" s="41" t="n"/>
      <c r="C2587" s="41" t="n"/>
      <c r="F2587" s="41" t="n"/>
      <c r="H2587" s="41" t="n"/>
    </row>
    <row r="2588" ht="25.8" customHeight="1">
      <c r="B2588" s="41" t="n"/>
      <c r="C2588" s="41" t="n"/>
      <c r="F2588" s="41" t="n"/>
      <c r="H2588" s="41" t="n"/>
    </row>
    <row r="2589" ht="25.8" customHeight="1">
      <c r="B2589" s="41" t="n"/>
      <c r="C2589" s="41" t="n"/>
      <c r="F2589" s="41" t="n"/>
      <c r="H2589" s="41" t="n"/>
    </row>
    <row r="2590" ht="25.8" customHeight="1">
      <c r="B2590" s="41" t="n"/>
      <c r="C2590" s="41" t="n"/>
      <c r="F2590" s="41" t="n"/>
      <c r="H2590" s="41" t="n"/>
    </row>
    <row r="2591" ht="25.8" customHeight="1">
      <c r="B2591" s="41" t="n"/>
      <c r="C2591" s="41" t="n"/>
      <c r="F2591" s="41" t="n"/>
      <c r="H2591" s="41" t="n"/>
    </row>
    <row r="2592" ht="25.8" customHeight="1">
      <c r="B2592" s="41" t="n"/>
      <c r="C2592" s="41" t="n"/>
      <c r="F2592" s="41" t="n"/>
      <c r="H2592" s="41" t="n"/>
    </row>
    <row r="2593" ht="25.8" customHeight="1">
      <c r="B2593" s="41" t="n"/>
      <c r="C2593" s="41" t="n"/>
      <c r="F2593" s="41" t="n"/>
      <c r="H2593" s="41" t="n"/>
    </row>
    <row r="2594" ht="25.8" customHeight="1">
      <c r="B2594" s="41" t="n"/>
      <c r="C2594" s="41" t="n"/>
      <c r="F2594" s="41" t="n"/>
      <c r="H2594" s="41" t="n"/>
    </row>
    <row r="2595" ht="25.8" customHeight="1">
      <c r="B2595" s="41" t="n"/>
      <c r="C2595" s="41" t="n"/>
      <c r="F2595" s="41" t="n"/>
      <c r="H2595" s="41" t="n"/>
    </row>
    <row r="2596" ht="25.8" customHeight="1">
      <c r="B2596" s="41" t="n"/>
      <c r="C2596" s="41" t="n"/>
      <c r="F2596" s="41" t="n"/>
      <c r="H2596" s="41" t="n"/>
    </row>
    <row r="2597" ht="25.8" customHeight="1">
      <c r="B2597" s="41" t="n"/>
      <c r="C2597" s="41" t="n"/>
      <c r="F2597" s="41" t="n"/>
      <c r="H2597" s="41" t="n"/>
    </row>
    <row r="2598" ht="25.8" customHeight="1">
      <c r="B2598" s="41" t="n"/>
      <c r="C2598" s="41" t="n"/>
      <c r="F2598" s="41" t="n"/>
      <c r="H2598" s="41" t="n"/>
    </row>
    <row r="2599" ht="25.8" customHeight="1">
      <c r="B2599" s="41" t="n"/>
      <c r="C2599" s="41" t="n"/>
      <c r="F2599" s="41" t="n"/>
      <c r="H2599" s="41" t="n"/>
    </row>
    <row r="2600" ht="25.8" customHeight="1">
      <c r="B2600" s="41" t="n"/>
      <c r="C2600" s="41" t="n"/>
      <c r="F2600" s="41" t="n"/>
      <c r="H2600" s="41" t="n"/>
    </row>
    <row r="2601" ht="25.8" customHeight="1">
      <c r="B2601" s="41" t="n"/>
      <c r="C2601" s="41" t="n"/>
      <c r="F2601" s="41" t="n"/>
      <c r="H2601" s="41" t="n"/>
    </row>
    <row r="2602" ht="25.8" customHeight="1">
      <c r="B2602" s="41" t="n"/>
      <c r="C2602" s="41" t="n"/>
      <c r="F2602" s="41" t="n"/>
      <c r="H2602" s="41" t="n"/>
    </row>
    <row r="2603" ht="25.8" customHeight="1">
      <c r="B2603" s="41" t="n"/>
      <c r="C2603" s="41" t="n"/>
      <c r="F2603" s="41" t="n"/>
      <c r="H2603" s="41" t="n"/>
    </row>
    <row r="2604" ht="25.8" customHeight="1">
      <c r="B2604" s="41" t="n"/>
      <c r="C2604" s="41" t="n"/>
      <c r="F2604" s="41" t="n"/>
      <c r="H2604" s="41" t="n"/>
    </row>
    <row r="2605" ht="25.8" customHeight="1">
      <c r="B2605" s="41" t="n"/>
      <c r="C2605" s="41" t="n"/>
      <c r="F2605" s="41" t="n"/>
      <c r="H2605" s="41" t="n"/>
    </row>
    <row r="2606" ht="25.8" customHeight="1">
      <c r="B2606" s="41" t="n"/>
      <c r="C2606" s="41" t="n"/>
      <c r="F2606" s="41" t="n"/>
      <c r="H2606" s="41" t="n"/>
    </row>
    <row r="2607" ht="25.8" customHeight="1">
      <c r="B2607" s="41" t="n"/>
      <c r="C2607" s="41" t="n"/>
      <c r="F2607" s="41" t="n"/>
      <c r="H2607" s="41" t="n"/>
    </row>
    <row r="2608" ht="25.8" customHeight="1">
      <c r="B2608" s="41" t="n"/>
      <c r="C2608" s="41" t="n"/>
      <c r="F2608" s="41" t="n"/>
      <c r="H2608" s="41" t="n"/>
    </row>
    <row r="2609" ht="25.8" customHeight="1">
      <c r="B2609" s="41" t="n"/>
      <c r="C2609" s="41" t="n"/>
      <c r="F2609" s="41" t="n"/>
      <c r="H2609" s="41" t="n"/>
    </row>
    <row r="2610" ht="25.8" customHeight="1">
      <c r="B2610" s="41" t="n"/>
      <c r="C2610" s="41" t="n"/>
      <c r="F2610" s="41" t="n"/>
      <c r="H2610" s="41" t="n"/>
    </row>
    <row r="2611" ht="25.8" customHeight="1">
      <c r="B2611" s="41" t="n"/>
      <c r="C2611" s="41" t="n"/>
      <c r="F2611" s="41" t="n"/>
      <c r="H2611" s="41" t="n"/>
    </row>
    <row r="2612" ht="25.8" customHeight="1">
      <c r="B2612" s="41" t="n"/>
      <c r="C2612" s="41" t="n"/>
      <c r="F2612" s="41" t="n"/>
      <c r="H2612" s="41" t="n"/>
    </row>
    <row r="2613" ht="25.8" customHeight="1">
      <c r="B2613" s="41" t="n"/>
      <c r="C2613" s="41" t="n"/>
      <c r="F2613" s="41" t="n"/>
      <c r="H2613" s="41" t="n"/>
    </row>
    <row r="2614" ht="25.8" customHeight="1">
      <c r="B2614" s="41" t="n"/>
      <c r="C2614" s="41" t="n"/>
      <c r="F2614" s="41" t="n"/>
      <c r="H2614" s="41" t="n"/>
    </row>
    <row r="2615" ht="25.8" customHeight="1">
      <c r="B2615" s="41" t="n"/>
      <c r="C2615" s="41" t="n"/>
      <c r="F2615" s="41" t="n"/>
      <c r="H2615" s="41" t="n"/>
    </row>
    <row r="2616" ht="25.8" customHeight="1">
      <c r="B2616" s="41" t="n"/>
      <c r="C2616" s="41" t="n"/>
      <c r="F2616" s="41" t="n"/>
      <c r="H2616" s="41" t="n"/>
    </row>
    <row r="2617" ht="25.8" customHeight="1">
      <c r="B2617" s="41" t="n"/>
      <c r="C2617" s="41" t="n"/>
      <c r="F2617" s="41" t="n"/>
      <c r="H2617" s="41" t="n"/>
    </row>
    <row r="2618" ht="25.8" customHeight="1">
      <c r="B2618" s="41" t="n"/>
      <c r="C2618" s="41" t="n"/>
      <c r="F2618" s="41" t="n"/>
      <c r="H2618" s="41" t="n"/>
    </row>
    <row r="2619" ht="25.8" customHeight="1">
      <c r="B2619" s="41" t="n"/>
      <c r="C2619" s="41" t="n"/>
      <c r="F2619" s="41" t="n"/>
      <c r="H2619" s="41" t="n"/>
    </row>
    <row r="2620" ht="25.8" customHeight="1">
      <c r="B2620" s="41" t="n"/>
      <c r="C2620" s="41" t="n"/>
      <c r="F2620" s="41" t="n"/>
      <c r="H2620" s="41" t="n"/>
    </row>
    <row r="2621" ht="25.8" customHeight="1">
      <c r="B2621" s="41" t="n"/>
      <c r="C2621" s="41" t="n"/>
      <c r="F2621" s="41" t="n"/>
      <c r="H2621" s="41" t="n"/>
    </row>
    <row r="2622" ht="25.8" customHeight="1">
      <c r="B2622" s="41" t="n"/>
      <c r="C2622" s="41" t="n"/>
      <c r="F2622" s="41" t="n"/>
      <c r="H2622" s="41" t="n"/>
    </row>
    <row r="2623" ht="25.8" customHeight="1">
      <c r="B2623" s="41" t="n"/>
      <c r="C2623" s="41" t="n"/>
      <c r="F2623" s="41" t="n"/>
      <c r="H2623" s="41" t="n"/>
    </row>
    <row r="2624" ht="25.8" customHeight="1">
      <c r="B2624" s="41" t="n"/>
      <c r="C2624" s="41" t="n"/>
      <c r="F2624" s="41" t="n"/>
      <c r="H2624" s="41" t="n"/>
    </row>
    <row r="2625" ht="25.8" customHeight="1">
      <c r="B2625" s="41" t="n"/>
      <c r="C2625" s="41" t="n"/>
      <c r="F2625" s="41" t="n"/>
      <c r="H2625" s="41" t="n"/>
    </row>
    <row r="2626" ht="25.8" customHeight="1">
      <c r="B2626" s="41" t="n"/>
      <c r="C2626" s="41" t="n"/>
      <c r="F2626" s="41" t="n"/>
      <c r="H2626" s="41" t="n"/>
    </row>
    <row r="2627" ht="25.8" customHeight="1">
      <c r="B2627" s="41" t="n"/>
      <c r="C2627" s="41" t="n"/>
      <c r="F2627" s="41" t="n"/>
      <c r="H2627" s="41" t="n"/>
    </row>
    <row r="2628" ht="25.8" customHeight="1">
      <c r="B2628" s="41" t="n"/>
      <c r="C2628" s="41" t="n"/>
      <c r="F2628" s="41" t="n"/>
      <c r="H2628" s="41" t="n"/>
    </row>
    <row r="2629" ht="25.8" customHeight="1">
      <c r="B2629" s="41" t="n"/>
      <c r="C2629" s="41" t="n"/>
      <c r="F2629" s="41" t="n"/>
      <c r="H2629" s="41" t="n"/>
    </row>
    <row r="2630" ht="25.8" customHeight="1">
      <c r="B2630" s="41" t="n"/>
      <c r="C2630" s="41" t="n"/>
      <c r="F2630" s="41" t="n"/>
      <c r="H2630" s="41" t="n"/>
    </row>
    <row r="2631" ht="25.8" customHeight="1">
      <c r="B2631" s="41" t="n"/>
      <c r="C2631" s="41" t="n"/>
      <c r="F2631" s="41" t="n"/>
      <c r="H2631" s="41" t="n"/>
    </row>
    <row r="2632" ht="25.8" customHeight="1">
      <c r="B2632" s="41" t="n"/>
      <c r="C2632" s="41" t="n"/>
      <c r="F2632" s="41" t="n"/>
      <c r="H2632" s="41" t="n"/>
    </row>
    <row r="2633" ht="25.8" customHeight="1">
      <c r="B2633" s="41" t="n"/>
      <c r="C2633" s="41" t="n"/>
      <c r="F2633" s="41" t="n"/>
      <c r="H2633" s="41" t="n"/>
    </row>
    <row r="2634" ht="25.8" customHeight="1">
      <c r="B2634" s="41" t="n"/>
      <c r="C2634" s="41" t="n"/>
      <c r="F2634" s="41" t="n"/>
      <c r="H2634" s="41" t="n"/>
    </row>
    <row r="2635" ht="25.8" customHeight="1">
      <c r="B2635" s="41" t="n"/>
      <c r="C2635" s="41" t="n"/>
      <c r="F2635" s="41" t="n"/>
      <c r="H2635" s="41" t="n"/>
    </row>
    <row r="2636" ht="25.8" customHeight="1">
      <c r="B2636" s="41" t="n"/>
      <c r="C2636" s="41" t="n"/>
      <c r="F2636" s="41" t="n"/>
      <c r="H2636" s="41" t="n"/>
    </row>
    <row r="2637" ht="25.8" customHeight="1">
      <c r="B2637" s="41" t="n"/>
      <c r="C2637" s="41" t="n"/>
      <c r="F2637" s="41" t="n"/>
      <c r="H2637" s="41" t="n"/>
    </row>
    <row r="2638" ht="25.8" customHeight="1">
      <c r="B2638" s="41" t="n"/>
      <c r="C2638" s="41" t="n"/>
      <c r="F2638" s="41" t="n"/>
      <c r="H2638" s="41" t="n"/>
    </row>
    <row r="2639" ht="25.8" customHeight="1">
      <c r="B2639" s="41" t="n"/>
      <c r="C2639" s="41" t="n"/>
      <c r="F2639" s="41" t="n"/>
      <c r="H2639" s="41" t="n"/>
    </row>
    <row r="2640" ht="25.8" customHeight="1">
      <c r="B2640" s="41" t="n"/>
      <c r="C2640" s="41" t="n"/>
      <c r="F2640" s="41" t="n"/>
      <c r="H2640" s="41" t="n"/>
    </row>
    <row r="2641" ht="25.8" customHeight="1">
      <c r="B2641" s="41" t="n"/>
      <c r="C2641" s="41" t="n"/>
      <c r="F2641" s="41" t="n"/>
      <c r="H2641" s="41" t="n"/>
    </row>
    <row r="2642" ht="25.8" customHeight="1">
      <c r="B2642" s="41" t="n"/>
      <c r="C2642" s="41" t="n"/>
      <c r="F2642" s="41" t="n"/>
      <c r="H2642" s="41" t="n"/>
    </row>
    <row r="2643" ht="25.8" customHeight="1">
      <c r="B2643" s="41" t="n"/>
      <c r="C2643" s="41" t="n"/>
      <c r="F2643" s="41" t="n"/>
      <c r="H2643" s="41" t="n"/>
    </row>
    <row r="2644" ht="25.8" customHeight="1">
      <c r="B2644" s="41" t="n"/>
      <c r="C2644" s="41" t="n"/>
      <c r="F2644" s="41" t="n"/>
      <c r="H2644" s="41" t="n"/>
    </row>
    <row r="2645" ht="25.8" customHeight="1">
      <c r="B2645" s="41" t="n"/>
      <c r="C2645" s="41" t="n"/>
      <c r="F2645" s="41" t="n"/>
      <c r="H2645" s="41" t="n"/>
    </row>
    <row r="2646" ht="25.8" customHeight="1">
      <c r="B2646" s="41" t="n"/>
      <c r="C2646" s="41" t="n"/>
      <c r="F2646" s="41" t="n"/>
      <c r="H2646" s="41" t="n"/>
    </row>
    <row r="2647" ht="25.8" customHeight="1">
      <c r="B2647" s="41" t="n"/>
      <c r="C2647" s="41" t="n"/>
      <c r="F2647" s="41" t="n"/>
      <c r="H2647" s="41" t="n"/>
    </row>
    <row r="2648" ht="25.8" customHeight="1">
      <c r="B2648" s="41" t="n"/>
      <c r="C2648" s="41" t="n"/>
      <c r="F2648" s="41" t="n"/>
      <c r="H2648" s="41" t="n"/>
    </row>
    <row r="2649" ht="25.8" customHeight="1">
      <c r="B2649" s="41" t="n"/>
      <c r="C2649" s="41" t="n"/>
      <c r="F2649" s="41" t="n"/>
      <c r="H2649" s="41" t="n"/>
    </row>
    <row r="2650" ht="25.8" customHeight="1">
      <c r="B2650" s="41" t="n"/>
      <c r="C2650" s="41" t="n"/>
      <c r="F2650" s="41" t="n"/>
      <c r="H2650" s="41" t="n"/>
    </row>
    <row r="2651" ht="25.8" customHeight="1">
      <c r="B2651" s="41" t="n"/>
      <c r="C2651" s="41" t="n"/>
      <c r="F2651" s="41" t="n"/>
      <c r="H2651" s="41" t="n"/>
    </row>
    <row r="2652" ht="25.8" customHeight="1">
      <c r="B2652" s="41" t="n"/>
      <c r="C2652" s="41" t="n"/>
      <c r="F2652" s="41" t="n"/>
      <c r="H2652" s="41" t="n"/>
    </row>
    <row r="2653" ht="25.8" customHeight="1">
      <c r="B2653" s="41" t="n"/>
      <c r="C2653" s="41" t="n"/>
      <c r="F2653" s="41" t="n"/>
      <c r="H2653" s="41" t="n"/>
    </row>
    <row r="2654" ht="25.8" customHeight="1">
      <c r="B2654" s="41" t="n"/>
      <c r="C2654" s="41" t="n"/>
      <c r="F2654" s="41" t="n"/>
      <c r="H2654" s="41" t="n"/>
    </row>
    <row r="2655" ht="25.8" customHeight="1">
      <c r="B2655" s="41" t="n"/>
      <c r="C2655" s="41" t="n"/>
      <c r="F2655" s="41" t="n"/>
      <c r="H2655" s="41" t="n"/>
    </row>
    <row r="2656" ht="25.8" customHeight="1">
      <c r="B2656" s="41" t="n"/>
      <c r="C2656" s="41" t="n"/>
      <c r="F2656" s="41" t="n"/>
      <c r="H2656" s="41" t="n"/>
    </row>
    <row r="2657" ht="25.8" customHeight="1">
      <c r="B2657" s="41" t="n"/>
      <c r="C2657" s="41" t="n"/>
      <c r="F2657" s="41" t="n"/>
      <c r="H2657" s="41" t="n"/>
    </row>
    <row r="2658" ht="25.8" customHeight="1">
      <c r="B2658" s="41" t="n"/>
      <c r="C2658" s="41" t="n"/>
      <c r="F2658" s="41" t="n"/>
      <c r="H2658" s="41" t="n"/>
    </row>
    <row r="2659" ht="25.8" customHeight="1">
      <c r="B2659" s="41" t="n"/>
      <c r="C2659" s="41" t="n"/>
      <c r="F2659" s="41" t="n"/>
      <c r="H2659" s="41" t="n"/>
    </row>
    <row r="2660" ht="25.8" customHeight="1">
      <c r="B2660" s="41" t="n"/>
      <c r="C2660" s="41" t="n"/>
      <c r="F2660" s="41" t="n"/>
      <c r="H2660" s="41" t="n"/>
    </row>
    <row r="2661" ht="25.8" customHeight="1">
      <c r="B2661" s="41" t="n"/>
      <c r="C2661" s="41" t="n"/>
      <c r="F2661" s="41" t="n"/>
      <c r="H2661" s="41" t="n"/>
    </row>
    <row r="2662" ht="25.8" customHeight="1">
      <c r="B2662" s="41" t="n"/>
      <c r="C2662" s="41" t="n"/>
      <c r="F2662" s="41" t="n"/>
      <c r="H2662" s="41" t="n"/>
    </row>
    <row r="2663" ht="25.8" customHeight="1">
      <c r="B2663" s="41" t="n"/>
      <c r="C2663" s="41" t="n"/>
      <c r="F2663" s="41" t="n"/>
      <c r="H2663" s="41" t="n"/>
    </row>
    <row r="2664" ht="25.8" customHeight="1">
      <c r="B2664" s="41" t="n"/>
      <c r="C2664" s="41" t="n"/>
      <c r="F2664" s="41" t="n"/>
      <c r="H2664" s="41" t="n"/>
    </row>
    <row r="2665" ht="25.8" customHeight="1">
      <c r="B2665" s="41" t="n"/>
      <c r="C2665" s="41" t="n"/>
      <c r="F2665" s="41" t="n"/>
      <c r="H2665" s="41" t="n"/>
    </row>
    <row r="2666" ht="25.8" customHeight="1">
      <c r="B2666" s="41" t="n"/>
      <c r="C2666" s="41" t="n"/>
      <c r="F2666" s="41" t="n"/>
      <c r="H2666" s="41" t="n"/>
    </row>
    <row r="2667" ht="25.8" customHeight="1">
      <c r="B2667" s="41" t="n"/>
      <c r="C2667" s="41" t="n"/>
      <c r="F2667" s="41" t="n"/>
      <c r="H2667" s="41" t="n"/>
    </row>
    <row r="2668" ht="25.8" customHeight="1">
      <c r="B2668" s="41" t="n"/>
      <c r="C2668" s="41" t="n"/>
      <c r="F2668" s="41" t="n"/>
      <c r="H2668" s="41" t="n"/>
    </row>
    <row r="2669" ht="25.8" customHeight="1">
      <c r="B2669" s="41" t="n"/>
      <c r="C2669" s="41" t="n"/>
      <c r="F2669" s="41" t="n"/>
      <c r="H2669" s="41" t="n"/>
    </row>
    <row r="2670" ht="25.8" customHeight="1">
      <c r="B2670" s="41" t="n"/>
      <c r="C2670" s="41" t="n"/>
      <c r="F2670" s="41" t="n"/>
      <c r="H2670" s="41" t="n"/>
    </row>
    <row r="2671" ht="25.8" customHeight="1">
      <c r="B2671" s="41" t="n"/>
      <c r="C2671" s="41" t="n"/>
      <c r="F2671" s="41" t="n"/>
      <c r="H2671" s="41" t="n"/>
    </row>
    <row r="2672" ht="25.8" customHeight="1">
      <c r="B2672" s="41" t="n"/>
      <c r="C2672" s="41" t="n"/>
      <c r="F2672" s="41" t="n"/>
      <c r="H2672" s="41" t="n"/>
    </row>
    <row r="2673" ht="25.8" customHeight="1">
      <c r="B2673" s="41" t="n"/>
      <c r="C2673" s="41" t="n"/>
      <c r="F2673" s="41" t="n"/>
      <c r="H2673" s="41" t="n"/>
    </row>
    <row r="2674" ht="25.8" customHeight="1">
      <c r="B2674" s="41" t="n"/>
      <c r="C2674" s="41" t="n"/>
      <c r="F2674" s="41" t="n"/>
      <c r="H2674" s="41" t="n"/>
    </row>
    <row r="2675" ht="25.8" customHeight="1">
      <c r="B2675" s="41" t="n"/>
      <c r="C2675" s="41" t="n"/>
      <c r="F2675" s="41" t="n"/>
      <c r="H2675" s="41" t="n"/>
    </row>
    <row r="2676" ht="25.8" customHeight="1">
      <c r="B2676" s="41" t="n"/>
      <c r="C2676" s="41" t="n"/>
      <c r="F2676" s="41" t="n"/>
      <c r="H2676" s="41" t="n"/>
    </row>
    <row r="2677" ht="25.8" customHeight="1">
      <c r="B2677" s="41" t="n"/>
      <c r="C2677" s="41" t="n"/>
      <c r="F2677" s="41" t="n"/>
      <c r="H2677" s="41" t="n"/>
    </row>
    <row r="2678" ht="25.8" customHeight="1">
      <c r="B2678" s="41" t="n"/>
      <c r="C2678" s="41" t="n"/>
      <c r="F2678" s="41" t="n"/>
      <c r="H2678" s="41" t="n"/>
    </row>
    <row r="2679" ht="25.8" customHeight="1">
      <c r="B2679" s="41" t="n"/>
      <c r="C2679" s="41" t="n"/>
      <c r="F2679" s="41" t="n"/>
      <c r="H2679" s="41" t="n"/>
    </row>
    <row r="2680" ht="25.8" customHeight="1">
      <c r="B2680" s="41" t="n"/>
      <c r="C2680" s="41" t="n"/>
      <c r="F2680" s="41" t="n"/>
      <c r="H2680" s="41" t="n"/>
    </row>
    <row r="2681" ht="25.8" customHeight="1">
      <c r="B2681" s="41" t="n"/>
      <c r="C2681" s="41" t="n"/>
      <c r="F2681" s="41" t="n"/>
      <c r="H2681" s="41" t="n"/>
    </row>
    <row r="2682" ht="25.8" customHeight="1">
      <c r="B2682" s="41" t="n"/>
      <c r="C2682" s="41" t="n"/>
      <c r="F2682" s="41" t="n"/>
      <c r="H2682" s="41" t="n"/>
    </row>
    <row r="2683" ht="25.8" customHeight="1">
      <c r="B2683" s="41" t="n"/>
      <c r="C2683" s="41" t="n"/>
      <c r="F2683" s="41" t="n"/>
      <c r="H2683" s="41" t="n"/>
    </row>
    <row r="2684" ht="25.8" customHeight="1">
      <c r="B2684" s="41" t="n"/>
      <c r="C2684" s="41" t="n"/>
      <c r="F2684" s="41" t="n"/>
      <c r="H2684" s="41" t="n"/>
    </row>
    <row r="2685" ht="25.8" customHeight="1">
      <c r="B2685" s="41" t="n"/>
      <c r="C2685" s="41" t="n"/>
      <c r="F2685" s="41" t="n"/>
      <c r="H2685" s="41" t="n"/>
    </row>
    <row r="2686" ht="25.8" customHeight="1">
      <c r="B2686" s="41" t="n"/>
      <c r="C2686" s="41" t="n"/>
      <c r="F2686" s="41" t="n"/>
      <c r="H2686" s="41" t="n"/>
    </row>
    <row r="2687" ht="25.8" customHeight="1">
      <c r="B2687" s="41" t="n"/>
      <c r="C2687" s="41" t="n"/>
      <c r="F2687" s="41" t="n"/>
      <c r="H2687" s="41" t="n"/>
    </row>
    <row r="2688" ht="25.8" customHeight="1">
      <c r="B2688" s="41" t="n"/>
      <c r="C2688" s="41" t="n"/>
      <c r="F2688" s="41" t="n"/>
      <c r="H2688" s="41" t="n"/>
    </row>
    <row r="2689" ht="25.8" customHeight="1">
      <c r="B2689" s="41" t="n"/>
      <c r="C2689" s="41" t="n"/>
      <c r="F2689" s="41" t="n"/>
      <c r="H2689" s="41" t="n"/>
    </row>
    <row r="2690" ht="25.8" customHeight="1">
      <c r="B2690" s="41" t="n"/>
      <c r="C2690" s="41" t="n"/>
      <c r="F2690" s="41" t="n"/>
      <c r="H2690" s="41" t="n"/>
    </row>
    <row r="2691" ht="25.8" customHeight="1">
      <c r="B2691" s="41" t="n"/>
      <c r="C2691" s="41" t="n"/>
      <c r="F2691" s="41" t="n"/>
      <c r="H2691" s="41" t="n"/>
    </row>
    <row r="2692" ht="25.8" customHeight="1">
      <c r="B2692" s="41" t="n"/>
      <c r="C2692" s="41" t="n"/>
      <c r="F2692" s="41" t="n"/>
      <c r="H2692" s="41" t="n"/>
    </row>
    <row r="2693" ht="25.8" customHeight="1">
      <c r="B2693" s="41" t="n"/>
      <c r="C2693" s="41" t="n"/>
      <c r="F2693" s="41" t="n"/>
      <c r="H2693" s="41" t="n"/>
    </row>
    <row r="2694" ht="25.8" customHeight="1">
      <c r="B2694" s="41" t="n"/>
      <c r="C2694" s="41" t="n"/>
      <c r="F2694" s="41" t="n"/>
      <c r="H2694" s="41" t="n"/>
    </row>
    <row r="2695" ht="25.8" customHeight="1">
      <c r="B2695" s="41" t="n"/>
      <c r="C2695" s="41" t="n"/>
      <c r="F2695" s="41" t="n"/>
      <c r="H2695" s="41" t="n"/>
    </row>
    <row r="2696" ht="25.8" customHeight="1">
      <c r="B2696" s="41" t="n"/>
      <c r="C2696" s="41" t="n"/>
      <c r="F2696" s="41" t="n"/>
      <c r="H2696" s="41" t="n"/>
    </row>
    <row r="2697" ht="25.8" customHeight="1">
      <c r="B2697" s="41" t="n"/>
      <c r="C2697" s="41" t="n"/>
      <c r="F2697" s="41" t="n"/>
      <c r="H2697" s="41" t="n"/>
    </row>
    <row r="2698" ht="25.8" customHeight="1">
      <c r="B2698" s="41" t="n"/>
      <c r="C2698" s="41" t="n"/>
      <c r="F2698" s="41" t="n"/>
      <c r="H2698" s="41" t="n"/>
    </row>
    <row r="2699" ht="25.8" customHeight="1">
      <c r="B2699" s="41" t="n"/>
      <c r="C2699" s="41" t="n"/>
      <c r="F2699" s="41" t="n"/>
      <c r="H2699" s="41" t="n"/>
    </row>
    <row r="2700" ht="25.8" customHeight="1">
      <c r="B2700" s="41" t="n"/>
      <c r="C2700" s="41" t="n"/>
      <c r="F2700" s="41" t="n"/>
      <c r="H2700" s="41" t="n"/>
    </row>
    <row r="2701" ht="25.8" customHeight="1">
      <c r="B2701" s="41" t="n"/>
      <c r="C2701" s="41" t="n"/>
      <c r="F2701" s="41" t="n"/>
      <c r="H2701" s="41" t="n"/>
    </row>
    <row r="2702" ht="25.8" customHeight="1">
      <c r="B2702" s="41" t="n"/>
      <c r="C2702" s="41" t="n"/>
      <c r="F2702" s="41" t="n"/>
      <c r="H2702" s="41" t="n"/>
    </row>
    <row r="2703" ht="25.8" customHeight="1">
      <c r="B2703" s="41" t="n"/>
      <c r="C2703" s="41" t="n"/>
      <c r="F2703" s="41" t="n"/>
      <c r="H2703" s="41" t="n"/>
    </row>
    <row r="2704" ht="25.8" customHeight="1">
      <c r="B2704" s="41" t="n"/>
      <c r="C2704" s="41" t="n"/>
      <c r="F2704" s="41" t="n"/>
      <c r="H2704" s="41" t="n"/>
    </row>
    <row r="2705" ht="25.8" customHeight="1">
      <c r="B2705" s="41" t="n"/>
      <c r="C2705" s="41" t="n"/>
      <c r="F2705" s="41" t="n"/>
      <c r="H2705" s="41" t="n"/>
    </row>
    <row r="2706" ht="25.8" customHeight="1">
      <c r="B2706" s="41" t="n"/>
      <c r="C2706" s="41" t="n"/>
      <c r="F2706" s="41" t="n"/>
      <c r="H2706" s="41" t="n"/>
    </row>
    <row r="2707" ht="25.8" customHeight="1">
      <c r="B2707" s="41" t="n"/>
      <c r="C2707" s="41" t="n"/>
      <c r="F2707" s="41" t="n"/>
      <c r="H2707" s="41" t="n"/>
    </row>
    <row r="2708" ht="25.8" customHeight="1">
      <c r="B2708" s="41" t="n"/>
      <c r="C2708" s="41" t="n"/>
      <c r="F2708" s="41" t="n"/>
      <c r="H2708" s="41" t="n"/>
    </row>
    <row r="2709" ht="25.8" customHeight="1">
      <c r="B2709" s="41" t="n"/>
      <c r="C2709" s="41" t="n"/>
      <c r="F2709" s="41" t="n"/>
      <c r="H2709" s="41" t="n"/>
    </row>
    <row r="2710" ht="25.8" customHeight="1">
      <c r="B2710" s="41" t="n"/>
      <c r="C2710" s="41" t="n"/>
      <c r="F2710" s="41" t="n"/>
      <c r="H2710" s="41" t="n"/>
    </row>
    <row r="2711" ht="25.8" customHeight="1">
      <c r="B2711" s="41" t="n"/>
      <c r="C2711" s="41" t="n"/>
      <c r="F2711" s="41" t="n"/>
      <c r="H2711" s="41" t="n"/>
    </row>
    <row r="2712" ht="25.8" customHeight="1">
      <c r="B2712" s="41" t="n"/>
      <c r="C2712" s="41" t="n"/>
      <c r="F2712" s="41" t="n"/>
      <c r="H2712" s="41" t="n"/>
    </row>
    <row r="2713" ht="25.8" customHeight="1">
      <c r="B2713" s="41" t="n"/>
      <c r="C2713" s="41" t="n"/>
      <c r="F2713" s="41" t="n"/>
      <c r="H2713" s="41" t="n"/>
    </row>
    <row r="2714" ht="25.8" customHeight="1">
      <c r="B2714" s="41" t="n"/>
      <c r="C2714" s="41" t="n"/>
      <c r="F2714" s="41" t="n"/>
      <c r="H2714" s="41" t="n"/>
    </row>
    <row r="2715" ht="25.8" customHeight="1">
      <c r="B2715" s="41" t="n"/>
      <c r="C2715" s="41" t="n"/>
      <c r="F2715" s="41" t="n"/>
      <c r="H2715" s="41" t="n"/>
    </row>
    <row r="2716" ht="25.8" customHeight="1">
      <c r="B2716" s="41" t="n"/>
      <c r="C2716" s="41" t="n"/>
      <c r="F2716" s="41" t="n"/>
      <c r="H2716" s="41" t="n"/>
    </row>
    <row r="2717" ht="25.8" customHeight="1">
      <c r="B2717" s="41" t="n"/>
      <c r="C2717" s="41" t="n"/>
      <c r="F2717" s="41" t="n"/>
      <c r="H2717" s="41" t="n"/>
    </row>
    <row r="2718" ht="25.8" customHeight="1">
      <c r="B2718" s="41" t="n"/>
      <c r="C2718" s="41" t="n"/>
      <c r="F2718" s="41" t="n"/>
      <c r="H2718" s="41" t="n"/>
    </row>
    <row r="2719" ht="25.8" customHeight="1">
      <c r="B2719" s="41" t="n"/>
      <c r="C2719" s="41" t="n"/>
      <c r="F2719" s="41" t="n"/>
      <c r="H2719" s="41" t="n"/>
    </row>
    <row r="2720" ht="25.8" customHeight="1">
      <c r="B2720" s="41" t="n"/>
      <c r="C2720" s="41" t="n"/>
      <c r="F2720" s="41" t="n"/>
      <c r="H2720" s="41" t="n"/>
    </row>
    <row r="2721" ht="25.8" customHeight="1">
      <c r="B2721" s="41" t="n"/>
      <c r="C2721" s="41" t="n"/>
      <c r="F2721" s="41" t="n"/>
      <c r="H2721" s="41" t="n"/>
    </row>
    <row r="2722" ht="25.8" customHeight="1">
      <c r="B2722" s="41" t="n"/>
      <c r="C2722" s="41" t="n"/>
      <c r="F2722" s="41" t="n"/>
      <c r="H2722" s="41" t="n"/>
    </row>
    <row r="2723" ht="25.8" customHeight="1">
      <c r="B2723" s="41" t="n"/>
      <c r="C2723" s="41" t="n"/>
      <c r="F2723" s="41" t="n"/>
      <c r="H2723" s="41" t="n"/>
    </row>
    <row r="2724" ht="25.8" customHeight="1">
      <c r="B2724" s="41" t="n"/>
      <c r="C2724" s="41" t="n"/>
      <c r="F2724" s="41" t="n"/>
      <c r="H2724" s="41" t="n"/>
    </row>
    <row r="2725" ht="25.8" customHeight="1">
      <c r="B2725" s="41" t="n"/>
      <c r="C2725" s="41" t="n"/>
      <c r="F2725" s="41" t="n"/>
      <c r="H2725" s="41" t="n"/>
    </row>
    <row r="2726" ht="25.8" customHeight="1">
      <c r="B2726" s="41" t="n"/>
      <c r="C2726" s="41" t="n"/>
      <c r="F2726" s="41" t="n"/>
      <c r="H2726" s="41" t="n"/>
    </row>
    <row r="2727" ht="25.8" customHeight="1">
      <c r="B2727" s="41" t="n"/>
      <c r="C2727" s="41" t="n"/>
      <c r="F2727" s="41" t="n"/>
      <c r="H2727" s="41" t="n"/>
    </row>
    <row r="2728" ht="25.8" customHeight="1">
      <c r="B2728" s="41" t="n"/>
      <c r="C2728" s="41" t="n"/>
      <c r="F2728" s="41" t="n"/>
      <c r="H2728" s="41" t="n"/>
    </row>
    <row r="2729" ht="25.8" customHeight="1">
      <c r="B2729" s="41" t="n"/>
      <c r="C2729" s="41" t="n"/>
      <c r="F2729" s="41" t="n"/>
      <c r="H2729" s="41" t="n"/>
    </row>
    <row r="2730" ht="25.8" customHeight="1">
      <c r="B2730" s="41" t="n"/>
      <c r="C2730" s="41" t="n"/>
      <c r="F2730" s="41" t="n"/>
      <c r="H2730" s="41" t="n"/>
    </row>
    <row r="2731" ht="25.8" customHeight="1">
      <c r="B2731" s="41" t="n"/>
      <c r="C2731" s="41" t="n"/>
      <c r="F2731" s="41" t="n"/>
      <c r="H2731" s="41" t="n"/>
    </row>
    <row r="2732" ht="25.8" customHeight="1">
      <c r="B2732" s="41" t="n"/>
      <c r="C2732" s="41" t="n"/>
      <c r="F2732" s="41" t="n"/>
      <c r="H2732" s="41" t="n"/>
    </row>
    <row r="2733" ht="25.8" customHeight="1">
      <c r="B2733" s="41" t="n"/>
      <c r="C2733" s="41" t="n"/>
      <c r="F2733" s="41" t="n"/>
      <c r="H2733" s="41" t="n"/>
    </row>
    <row r="2734" ht="25.8" customHeight="1">
      <c r="B2734" s="41" t="n"/>
      <c r="C2734" s="41" t="n"/>
      <c r="F2734" s="41" t="n"/>
      <c r="H2734" s="41" t="n"/>
    </row>
    <row r="2735" ht="25.8" customHeight="1">
      <c r="B2735" s="41" t="n"/>
      <c r="C2735" s="41" t="n"/>
      <c r="F2735" s="41" t="n"/>
      <c r="H2735" s="41" t="n"/>
    </row>
    <row r="2736" ht="25.8" customHeight="1">
      <c r="B2736" s="41" t="n"/>
      <c r="C2736" s="41" t="n"/>
      <c r="F2736" s="41" t="n"/>
      <c r="H2736" s="41" t="n"/>
    </row>
    <row r="2737" ht="25.8" customHeight="1">
      <c r="B2737" s="41" t="n"/>
      <c r="C2737" s="41" t="n"/>
      <c r="F2737" s="41" t="n"/>
      <c r="H2737" s="41" t="n"/>
    </row>
    <row r="2738" ht="25.8" customHeight="1">
      <c r="B2738" s="41" t="n"/>
      <c r="C2738" s="41" t="n"/>
      <c r="F2738" s="41" t="n"/>
      <c r="H2738" s="41" t="n"/>
    </row>
    <row r="2739" ht="25.8" customHeight="1">
      <c r="B2739" s="41" t="n"/>
      <c r="C2739" s="41" t="n"/>
      <c r="F2739" s="41" t="n"/>
      <c r="H2739" s="41" t="n"/>
    </row>
    <row r="2740" ht="25.8" customHeight="1">
      <c r="B2740" s="41" t="n"/>
      <c r="C2740" s="41" t="n"/>
      <c r="F2740" s="41" t="n"/>
      <c r="H2740" s="41" t="n"/>
    </row>
    <row r="2741" ht="25.8" customHeight="1">
      <c r="B2741" s="41" t="n"/>
      <c r="C2741" s="41" t="n"/>
      <c r="F2741" s="41" t="n"/>
      <c r="H2741" s="41" t="n"/>
    </row>
    <row r="2742" ht="25.8" customHeight="1">
      <c r="B2742" s="41" t="n"/>
      <c r="C2742" s="41" t="n"/>
      <c r="F2742" s="41" t="n"/>
      <c r="H2742" s="41" t="n"/>
    </row>
    <row r="2743" ht="25.8" customHeight="1">
      <c r="B2743" s="41" t="n"/>
      <c r="C2743" s="41" t="n"/>
      <c r="F2743" s="41" t="n"/>
      <c r="H2743" s="41" t="n"/>
    </row>
    <row r="2744" ht="25.8" customHeight="1">
      <c r="B2744" s="41" t="n"/>
      <c r="C2744" s="41" t="n"/>
      <c r="F2744" s="41" t="n"/>
      <c r="H2744" s="41" t="n"/>
    </row>
    <row r="2745" ht="25.8" customHeight="1">
      <c r="B2745" s="41" t="n"/>
      <c r="C2745" s="41" t="n"/>
      <c r="F2745" s="41" t="n"/>
      <c r="H2745" s="41" t="n"/>
    </row>
    <row r="2746" ht="25.8" customHeight="1">
      <c r="B2746" s="41" t="n"/>
      <c r="C2746" s="41" t="n"/>
      <c r="F2746" s="41" t="n"/>
      <c r="H2746" s="41" t="n"/>
    </row>
    <row r="2747" ht="25.8" customHeight="1">
      <c r="B2747" s="41" t="n"/>
      <c r="C2747" s="41" t="n"/>
      <c r="F2747" s="41" t="n"/>
      <c r="H2747" s="41" t="n"/>
    </row>
    <row r="2748" ht="25.8" customHeight="1">
      <c r="B2748" s="41" t="n"/>
      <c r="C2748" s="41" t="n"/>
      <c r="F2748" s="41" t="n"/>
      <c r="H2748" s="41" t="n"/>
    </row>
    <row r="2749" ht="25.8" customHeight="1">
      <c r="B2749" s="41" t="n"/>
      <c r="C2749" s="41" t="n"/>
      <c r="F2749" s="41" t="n"/>
      <c r="H2749" s="41" t="n"/>
    </row>
    <row r="2750" ht="25.8" customHeight="1">
      <c r="B2750" s="41" t="n"/>
      <c r="C2750" s="41" t="n"/>
      <c r="F2750" s="41" t="n"/>
      <c r="H2750" s="41" t="n"/>
    </row>
    <row r="2751" ht="25.8" customHeight="1">
      <c r="B2751" s="41" t="n"/>
      <c r="C2751" s="41" t="n"/>
      <c r="F2751" s="41" t="n"/>
      <c r="H2751" s="41" t="n"/>
    </row>
    <row r="2752" ht="25.8" customHeight="1">
      <c r="B2752" s="41" t="n"/>
      <c r="C2752" s="41" t="n"/>
      <c r="F2752" s="41" t="n"/>
      <c r="H2752" s="41" t="n"/>
    </row>
    <row r="2753" ht="25.8" customHeight="1">
      <c r="B2753" s="41" t="n"/>
      <c r="C2753" s="41" t="n"/>
      <c r="F2753" s="41" t="n"/>
      <c r="H2753" s="41" t="n"/>
    </row>
    <row r="2754" ht="25.8" customHeight="1">
      <c r="B2754" s="41" t="n"/>
      <c r="C2754" s="41" t="n"/>
      <c r="F2754" s="41" t="n"/>
      <c r="H2754" s="41" t="n"/>
    </row>
    <row r="2755" ht="25.8" customHeight="1">
      <c r="B2755" s="41" t="n"/>
      <c r="C2755" s="41" t="n"/>
      <c r="F2755" s="41" t="n"/>
      <c r="H2755" s="41" t="n"/>
    </row>
    <row r="2756" ht="25.8" customHeight="1">
      <c r="B2756" s="41" t="n"/>
      <c r="C2756" s="41" t="n"/>
      <c r="F2756" s="41" t="n"/>
      <c r="H2756" s="41" t="n"/>
    </row>
    <row r="2757" ht="25.8" customHeight="1">
      <c r="B2757" s="41" t="n"/>
      <c r="C2757" s="41" t="n"/>
      <c r="F2757" s="41" t="n"/>
      <c r="H2757" s="41" t="n"/>
    </row>
    <row r="2758" ht="25.8" customHeight="1">
      <c r="B2758" s="41" t="n"/>
      <c r="C2758" s="41" t="n"/>
      <c r="F2758" s="41" t="n"/>
      <c r="H2758" s="41" t="n"/>
    </row>
    <row r="2759" ht="25.8" customHeight="1">
      <c r="B2759" s="41" t="n"/>
      <c r="C2759" s="41" t="n"/>
      <c r="F2759" s="41" t="n"/>
      <c r="H2759" s="41" t="n"/>
    </row>
    <row r="2760" ht="25.8" customHeight="1">
      <c r="B2760" s="41" t="n"/>
      <c r="C2760" s="41" t="n"/>
      <c r="F2760" s="41" t="n"/>
      <c r="H2760" s="41" t="n"/>
    </row>
    <row r="2761" ht="25.8" customHeight="1">
      <c r="B2761" s="41" t="n"/>
      <c r="C2761" s="41" t="n"/>
      <c r="F2761" s="41" t="n"/>
      <c r="H2761" s="41" t="n"/>
    </row>
    <row r="2762" ht="25.8" customHeight="1">
      <c r="B2762" s="41" t="n"/>
      <c r="C2762" s="41" t="n"/>
      <c r="F2762" s="41" t="n"/>
      <c r="H2762" s="41" t="n"/>
    </row>
    <row r="2763" ht="25.8" customHeight="1">
      <c r="B2763" s="41" t="n"/>
      <c r="C2763" s="41" t="n"/>
      <c r="F2763" s="41" t="n"/>
      <c r="H2763" s="41" t="n"/>
    </row>
    <row r="2764" ht="25.8" customHeight="1">
      <c r="B2764" s="41" t="n"/>
      <c r="C2764" s="41" t="n"/>
      <c r="F2764" s="41" t="n"/>
      <c r="H2764" s="41" t="n"/>
    </row>
    <row r="2765" ht="25.8" customHeight="1">
      <c r="B2765" s="41" t="n"/>
      <c r="C2765" s="41" t="n"/>
      <c r="F2765" s="41" t="n"/>
      <c r="H2765" s="41" t="n"/>
    </row>
    <row r="2766" ht="25.8" customHeight="1">
      <c r="B2766" s="41" t="n"/>
      <c r="C2766" s="41" t="n"/>
      <c r="F2766" s="41" t="n"/>
      <c r="H2766" s="41" t="n"/>
    </row>
    <row r="2767" ht="25.8" customHeight="1">
      <c r="B2767" s="41" t="n"/>
      <c r="C2767" s="41" t="n"/>
      <c r="F2767" s="41" t="n"/>
      <c r="H2767" s="41" t="n"/>
    </row>
    <row r="2768" ht="25.8" customHeight="1">
      <c r="B2768" s="41" t="n"/>
      <c r="C2768" s="41" t="n"/>
      <c r="F2768" s="41" t="n"/>
      <c r="H2768" s="41" t="n"/>
    </row>
    <row r="2769" ht="25.8" customHeight="1">
      <c r="B2769" s="41" t="n"/>
      <c r="C2769" s="41" t="n"/>
      <c r="F2769" s="41" t="n"/>
      <c r="H2769" s="41" t="n"/>
    </row>
    <row r="2770" ht="25.8" customHeight="1">
      <c r="B2770" s="41" t="n"/>
      <c r="C2770" s="41" t="n"/>
      <c r="F2770" s="41" t="n"/>
      <c r="H2770" s="41" t="n"/>
    </row>
    <row r="2771" ht="25.8" customHeight="1">
      <c r="B2771" s="41" t="n"/>
      <c r="C2771" s="41" t="n"/>
      <c r="F2771" s="41" t="n"/>
      <c r="H2771" s="41" t="n"/>
    </row>
    <row r="2772" ht="25.8" customHeight="1">
      <c r="B2772" s="41" t="n"/>
      <c r="C2772" s="41" t="n"/>
      <c r="F2772" s="41" t="n"/>
      <c r="H2772" s="41" t="n"/>
    </row>
    <row r="2773" ht="25.8" customHeight="1">
      <c r="B2773" s="41" t="n"/>
      <c r="C2773" s="41" t="n"/>
      <c r="F2773" s="41" t="n"/>
      <c r="H2773" s="41" t="n"/>
    </row>
    <row r="2774" ht="25.8" customHeight="1">
      <c r="B2774" s="41" t="n"/>
      <c r="C2774" s="41" t="n"/>
      <c r="F2774" s="41" t="n"/>
      <c r="H2774" s="41" t="n"/>
    </row>
    <row r="2775" ht="25.8" customHeight="1">
      <c r="B2775" s="41" t="n"/>
      <c r="C2775" s="41" t="n"/>
      <c r="F2775" s="41" t="n"/>
      <c r="H2775" s="41" t="n"/>
    </row>
    <row r="2776" ht="25.8" customHeight="1">
      <c r="B2776" s="41" t="n"/>
      <c r="C2776" s="41" t="n"/>
      <c r="F2776" s="41" t="n"/>
      <c r="H2776" s="41" t="n"/>
    </row>
    <row r="2777" ht="25.8" customHeight="1">
      <c r="B2777" s="41" t="n"/>
      <c r="C2777" s="41" t="n"/>
      <c r="F2777" s="41" t="n"/>
      <c r="H2777" s="41" t="n"/>
    </row>
    <row r="2778" ht="25.8" customHeight="1">
      <c r="B2778" s="41" t="n"/>
      <c r="C2778" s="41" t="n"/>
      <c r="F2778" s="41" t="n"/>
      <c r="H2778" s="41" t="n"/>
    </row>
    <row r="2779" ht="25.8" customHeight="1">
      <c r="B2779" s="41" t="n"/>
      <c r="C2779" s="41" t="n"/>
      <c r="F2779" s="41" t="n"/>
      <c r="H2779" s="41" t="n"/>
    </row>
    <row r="2780" ht="25.8" customHeight="1">
      <c r="B2780" s="41" t="n"/>
      <c r="C2780" s="41" t="n"/>
      <c r="F2780" s="41" t="n"/>
      <c r="H2780" s="41" t="n"/>
    </row>
    <row r="2781" ht="25.8" customHeight="1">
      <c r="B2781" s="41" t="n"/>
      <c r="C2781" s="41" t="n"/>
      <c r="F2781" s="41" t="n"/>
      <c r="H2781" s="41" t="n"/>
    </row>
    <row r="2782" ht="25.8" customHeight="1">
      <c r="B2782" s="41" t="n"/>
      <c r="C2782" s="41" t="n"/>
      <c r="F2782" s="41" t="n"/>
      <c r="H2782" s="41" t="n"/>
    </row>
    <row r="2783" ht="25.8" customHeight="1">
      <c r="B2783" s="41" t="n"/>
      <c r="C2783" s="41" t="n"/>
      <c r="F2783" s="41" t="n"/>
      <c r="H2783" s="41" t="n"/>
    </row>
    <row r="2784" ht="25.8" customHeight="1">
      <c r="B2784" s="41" t="n"/>
      <c r="C2784" s="41" t="n"/>
      <c r="F2784" s="41" t="n"/>
      <c r="H2784" s="41" t="n"/>
    </row>
    <row r="2785" ht="25.8" customHeight="1">
      <c r="B2785" s="41" t="n"/>
      <c r="C2785" s="41" t="n"/>
      <c r="F2785" s="41" t="n"/>
      <c r="H2785" s="41" t="n"/>
    </row>
    <row r="2786" ht="25.8" customHeight="1">
      <c r="B2786" s="41" t="n"/>
      <c r="C2786" s="41" t="n"/>
      <c r="F2786" s="41" t="n"/>
      <c r="H2786" s="41" t="n"/>
    </row>
    <row r="2787" ht="25.8" customHeight="1">
      <c r="B2787" s="41" t="n"/>
      <c r="C2787" s="41" t="n"/>
      <c r="F2787" s="41" t="n"/>
      <c r="H2787" s="41" t="n"/>
    </row>
    <row r="2788" ht="25.8" customHeight="1">
      <c r="B2788" s="41" t="n"/>
      <c r="C2788" s="41" t="n"/>
      <c r="F2788" s="41" t="n"/>
      <c r="H2788" s="41" t="n"/>
    </row>
    <row r="2789" ht="25.8" customHeight="1">
      <c r="B2789" s="41" t="n"/>
      <c r="C2789" s="41" t="n"/>
      <c r="F2789" s="41" t="n"/>
      <c r="H2789" s="41" t="n"/>
    </row>
    <row r="2790" ht="25.8" customHeight="1">
      <c r="B2790" s="41" t="n"/>
      <c r="C2790" s="41" t="n"/>
      <c r="F2790" s="41" t="n"/>
      <c r="H2790" s="41" t="n"/>
    </row>
    <row r="2791" ht="25.8" customHeight="1">
      <c r="B2791" s="41" t="n"/>
      <c r="C2791" s="41" t="n"/>
      <c r="F2791" s="41" t="n"/>
      <c r="H2791" s="41" t="n"/>
    </row>
    <row r="2792" ht="25.8" customHeight="1">
      <c r="B2792" s="41" t="n"/>
      <c r="C2792" s="41" t="n"/>
      <c r="F2792" s="41" t="n"/>
      <c r="H2792" s="41" t="n"/>
    </row>
    <row r="2793" ht="25.8" customHeight="1">
      <c r="B2793" s="41" t="n"/>
      <c r="C2793" s="41" t="n"/>
      <c r="F2793" s="41" t="n"/>
      <c r="H2793" s="41" t="n"/>
    </row>
    <row r="2794" ht="25.8" customHeight="1">
      <c r="B2794" s="41" t="n"/>
      <c r="C2794" s="41" t="n"/>
      <c r="F2794" s="41" t="n"/>
      <c r="H2794" s="41" t="n"/>
    </row>
    <row r="2795" ht="25.8" customHeight="1">
      <c r="B2795" s="41" t="n"/>
      <c r="C2795" s="41" t="n"/>
      <c r="F2795" s="41" t="n"/>
      <c r="H2795" s="41" t="n"/>
    </row>
    <row r="2796" ht="25.8" customHeight="1">
      <c r="B2796" s="41" t="n"/>
      <c r="C2796" s="41" t="n"/>
      <c r="F2796" s="41" t="n"/>
      <c r="H2796" s="41" t="n"/>
    </row>
    <row r="2797" ht="25.8" customHeight="1">
      <c r="B2797" s="41" t="n"/>
      <c r="C2797" s="41" t="n"/>
      <c r="F2797" s="41" t="n"/>
      <c r="H2797" s="41" t="n"/>
    </row>
    <row r="2798" ht="25.8" customHeight="1">
      <c r="B2798" s="41" t="n"/>
      <c r="C2798" s="41" t="n"/>
      <c r="F2798" s="41" t="n"/>
      <c r="H2798" s="41" t="n"/>
    </row>
    <row r="2799" ht="25.8" customHeight="1">
      <c r="B2799" s="41" t="n"/>
      <c r="C2799" s="41" t="n"/>
      <c r="F2799" s="41" t="n"/>
      <c r="H2799" s="41" t="n"/>
    </row>
    <row r="2800" ht="25.8" customHeight="1">
      <c r="B2800" s="41" t="n"/>
      <c r="C2800" s="41" t="n"/>
      <c r="F2800" s="41" t="n"/>
      <c r="H2800" s="41" t="n"/>
    </row>
    <row r="2801" ht="25.8" customHeight="1">
      <c r="B2801" s="41" t="n"/>
      <c r="C2801" s="41" t="n"/>
      <c r="F2801" s="41" t="n"/>
      <c r="H2801" s="41" t="n"/>
    </row>
    <row r="2802" ht="25.8" customHeight="1">
      <c r="B2802" s="41" t="n"/>
      <c r="C2802" s="41" t="n"/>
      <c r="F2802" s="41" t="n"/>
      <c r="H2802" s="41" t="n"/>
    </row>
    <row r="2803" ht="25.8" customHeight="1">
      <c r="B2803" s="41" t="n"/>
      <c r="C2803" s="41" t="n"/>
      <c r="F2803" s="41" t="n"/>
      <c r="H2803" s="41" t="n"/>
    </row>
    <row r="2804" ht="25.8" customHeight="1">
      <c r="B2804" s="41" t="n"/>
      <c r="C2804" s="41" t="n"/>
      <c r="F2804" s="41" t="n"/>
      <c r="H2804" s="41" t="n"/>
    </row>
    <row r="2805" ht="25.8" customHeight="1">
      <c r="B2805" s="41" t="n"/>
      <c r="C2805" s="41" t="n"/>
      <c r="F2805" s="41" t="n"/>
      <c r="H2805" s="41" t="n"/>
    </row>
    <row r="2806" ht="25.8" customHeight="1">
      <c r="B2806" s="41" t="n"/>
      <c r="C2806" s="41" t="n"/>
      <c r="F2806" s="41" t="n"/>
      <c r="H2806" s="41" t="n"/>
    </row>
    <row r="2807" ht="25.8" customHeight="1">
      <c r="B2807" s="41" t="n"/>
      <c r="C2807" s="41" t="n"/>
      <c r="F2807" s="41" t="n"/>
      <c r="H2807" s="41" t="n"/>
    </row>
    <row r="2808" ht="25.8" customHeight="1">
      <c r="B2808" s="41" t="n"/>
      <c r="C2808" s="41" t="n"/>
      <c r="F2808" s="41" t="n"/>
      <c r="H2808" s="41" t="n"/>
    </row>
    <row r="2809" ht="25.8" customHeight="1">
      <c r="B2809" s="41" t="n"/>
      <c r="C2809" s="41" t="n"/>
      <c r="F2809" s="41" t="n"/>
      <c r="H2809" s="41" t="n"/>
    </row>
    <row r="2810" ht="25.8" customHeight="1">
      <c r="B2810" s="41" t="n"/>
      <c r="C2810" s="41" t="n"/>
      <c r="F2810" s="41" t="n"/>
      <c r="H2810" s="41" t="n"/>
    </row>
    <row r="2811" ht="25.8" customHeight="1">
      <c r="B2811" s="41" t="n"/>
      <c r="C2811" s="41" t="n"/>
      <c r="F2811" s="41" t="n"/>
      <c r="H2811" s="41" t="n"/>
    </row>
    <row r="2812" ht="25.8" customHeight="1">
      <c r="B2812" s="41" t="n"/>
      <c r="C2812" s="41" t="n"/>
      <c r="F2812" s="41" t="n"/>
      <c r="H2812" s="41" t="n"/>
    </row>
    <row r="2813" ht="25.8" customHeight="1">
      <c r="B2813" s="41" t="n"/>
      <c r="C2813" s="41" t="n"/>
      <c r="F2813" s="41" t="n"/>
      <c r="H2813" s="41" t="n"/>
    </row>
    <row r="2814" ht="25.8" customHeight="1">
      <c r="B2814" s="41" t="n"/>
      <c r="C2814" s="41" t="n"/>
      <c r="F2814" s="41" t="n"/>
      <c r="H2814" s="41" t="n"/>
    </row>
    <row r="2815" ht="25.8" customHeight="1">
      <c r="B2815" s="41" t="n"/>
      <c r="C2815" s="41" t="n"/>
      <c r="F2815" s="41" t="n"/>
      <c r="H2815" s="41" t="n"/>
    </row>
    <row r="2816" ht="25.8" customHeight="1">
      <c r="B2816" s="41" t="n"/>
      <c r="C2816" s="41" t="n"/>
      <c r="F2816" s="41" t="n"/>
      <c r="H2816" s="41" t="n"/>
    </row>
    <row r="2817" ht="25.8" customHeight="1">
      <c r="B2817" s="41" t="n"/>
      <c r="C2817" s="41" t="n"/>
      <c r="F2817" s="41" t="n"/>
      <c r="H2817" s="41" t="n"/>
    </row>
    <row r="2818" ht="25.8" customHeight="1">
      <c r="B2818" s="41" t="n"/>
      <c r="C2818" s="41" t="n"/>
      <c r="F2818" s="41" t="n"/>
      <c r="H2818" s="41" t="n"/>
    </row>
    <row r="2819" ht="25.8" customHeight="1">
      <c r="B2819" s="41" t="n"/>
      <c r="C2819" s="41" t="n"/>
      <c r="F2819" s="41" t="n"/>
      <c r="H2819" s="41" t="n"/>
    </row>
    <row r="2820" ht="25.8" customHeight="1">
      <c r="B2820" s="41" t="n"/>
      <c r="C2820" s="41" t="n"/>
      <c r="F2820" s="41" t="n"/>
      <c r="H2820" s="41" t="n"/>
    </row>
    <row r="2821" ht="25.8" customHeight="1">
      <c r="B2821" s="41" t="n"/>
      <c r="C2821" s="41" t="n"/>
      <c r="F2821" s="41" t="n"/>
      <c r="H2821" s="41" t="n"/>
    </row>
    <row r="2822" ht="25.8" customHeight="1">
      <c r="B2822" s="41" t="n"/>
      <c r="C2822" s="41" t="n"/>
      <c r="F2822" s="41" t="n"/>
      <c r="H2822" s="41" t="n"/>
    </row>
    <row r="2823" ht="25.8" customHeight="1">
      <c r="B2823" s="41" t="n"/>
      <c r="C2823" s="41" t="n"/>
      <c r="F2823" s="41" t="n"/>
      <c r="H2823" s="41" t="n"/>
    </row>
    <row r="2824" ht="25.8" customHeight="1">
      <c r="B2824" s="41" t="n"/>
      <c r="C2824" s="41" t="n"/>
      <c r="F2824" s="41" t="n"/>
      <c r="H2824" s="41" t="n"/>
    </row>
    <row r="2825" ht="25.8" customHeight="1">
      <c r="B2825" s="41" t="n"/>
      <c r="C2825" s="41" t="n"/>
      <c r="F2825" s="41" t="n"/>
      <c r="H2825" s="41" t="n"/>
    </row>
    <row r="2826" ht="25.8" customHeight="1">
      <c r="B2826" s="41" t="n"/>
      <c r="C2826" s="41" t="n"/>
      <c r="F2826" s="41" t="n"/>
      <c r="H2826" s="41" t="n"/>
    </row>
    <row r="2827" ht="25.8" customHeight="1">
      <c r="B2827" s="41" t="n"/>
      <c r="C2827" s="41" t="n"/>
      <c r="F2827" s="41" t="n"/>
      <c r="H2827" s="41" t="n"/>
    </row>
    <row r="2828" ht="25.8" customHeight="1">
      <c r="B2828" s="41" t="n"/>
      <c r="C2828" s="41" t="n"/>
      <c r="F2828" s="41" t="n"/>
      <c r="H2828" s="41" t="n"/>
    </row>
    <row r="2829" ht="25.8" customHeight="1">
      <c r="B2829" s="41" t="n"/>
      <c r="C2829" s="41" t="n"/>
      <c r="F2829" s="41" t="n"/>
      <c r="H2829" s="41" t="n"/>
    </row>
    <row r="2830" ht="25.8" customHeight="1">
      <c r="B2830" s="41" t="n"/>
      <c r="C2830" s="41" t="n"/>
      <c r="F2830" s="41" t="n"/>
      <c r="H2830" s="41" t="n"/>
    </row>
    <row r="2831" ht="25.8" customHeight="1">
      <c r="B2831" s="41" t="n"/>
      <c r="C2831" s="41" t="n"/>
      <c r="F2831" s="41" t="n"/>
      <c r="H2831" s="41" t="n"/>
    </row>
    <row r="2832" ht="25.8" customHeight="1">
      <c r="B2832" s="41" t="n"/>
      <c r="C2832" s="41" t="n"/>
      <c r="F2832" s="41" t="n"/>
      <c r="H2832" s="41" t="n"/>
    </row>
    <row r="2833" ht="25.8" customHeight="1">
      <c r="B2833" s="41" t="n"/>
      <c r="C2833" s="41" t="n"/>
      <c r="F2833" s="41" t="n"/>
      <c r="H2833" s="41" t="n"/>
    </row>
    <row r="2834" ht="25.8" customHeight="1">
      <c r="B2834" s="41" t="n"/>
      <c r="C2834" s="41" t="n"/>
      <c r="F2834" s="41" t="n"/>
      <c r="H2834" s="41" t="n"/>
    </row>
    <row r="2835" ht="25.8" customHeight="1">
      <c r="B2835" s="41" t="n"/>
      <c r="C2835" s="41" t="n"/>
      <c r="F2835" s="41" t="n"/>
      <c r="H2835" s="41" t="n"/>
    </row>
    <row r="2836" ht="25.8" customHeight="1">
      <c r="B2836" s="41" t="n"/>
      <c r="C2836" s="41" t="n"/>
      <c r="F2836" s="41" t="n"/>
      <c r="H2836" s="41" t="n"/>
    </row>
    <row r="2837" ht="25.8" customHeight="1">
      <c r="B2837" s="41" t="n"/>
      <c r="C2837" s="41" t="n"/>
      <c r="F2837" s="41" t="n"/>
      <c r="H2837" s="41" t="n"/>
    </row>
    <row r="2838" ht="25.8" customHeight="1">
      <c r="B2838" s="41" t="n"/>
      <c r="C2838" s="41" t="n"/>
      <c r="F2838" s="41" t="n"/>
      <c r="H2838" s="41" t="n"/>
    </row>
    <row r="2839" ht="25.8" customHeight="1">
      <c r="B2839" s="41" t="n"/>
      <c r="C2839" s="41" t="n"/>
      <c r="F2839" s="41" t="n"/>
      <c r="H2839" s="41" t="n"/>
    </row>
    <row r="2840" ht="25.8" customHeight="1">
      <c r="B2840" s="41" t="n"/>
      <c r="C2840" s="41" t="n"/>
      <c r="F2840" s="41" t="n"/>
      <c r="H2840" s="41" t="n"/>
    </row>
    <row r="2841" ht="25.8" customHeight="1">
      <c r="B2841" s="41" t="n"/>
      <c r="C2841" s="41" t="n"/>
      <c r="F2841" s="41" t="n"/>
      <c r="H2841" s="41" t="n"/>
    </row>
    <row r="2842" ht="25.8" customHeight="1">
      <c r="B2842" s="41" t="n"/>
      <c r="C2842" s="41" t="n"/>
      <c r="F2842" s="41" t="n"/>
      <c r="H2842" s="41" t="n"/>
    </row>
    <row r="2843" ht="25.8" customHeight="1">
      <c r="B2843" s="41" t="n"/>
      <c r="C2843" s="41" t="n"/>
      <c r="F2843" s="41" t="n"/>
      <c r="H2843" s="41" t="n"/>
    </row>
    <row r="2844" ht="25.8" customHeight="1">
      <c r="B2844" s="41" t="n"/>
      <c r="C2844" s="41" t="n"/>
      <c r="F2844" s="41" t="n"/>
      <c r="H2844" s="41" t="n"/>
    </row>
    <row r="2845" ht="25.8" customHeight="1">
      <c r="B2845" s="41" t="n"/>
      <c r="C2845" s="41" t="n"/>
      <c r="F2845" s="41" t="n"/>
      <c r="H2845" s="41" t="n"/>
    </row>
    <row r="2846" ht="25.8" customHeight="1">
      <c r="B2846" s="41" t="n"/>
      <c r="C2846" s="41" t="n"/>
      <c r="F2846" s="41" t="n"/>
      <c r="H2846" s="41" t="n"/>
    </row>
    <row r="2847" ht="25.8" customHeight="1">
      <c r="B2847" s="41" t="n"/>
      <c r="C2847" s="41" t="n"/>
      <c r="F2847" s="41" t="n"/>
      <c r="H2847" s="41" t="n"/>
    </row>
    <row r="2848" ht="25.8" customHeight="1">
      <c r="B2848" s="41" t="n"/>
      <c r="C2848" s="41" t="n"/>
      <c r="F2848" s="41" t="n"/>
      <c r="H2848" s="41" t="n"/>
    </row>
    <row r="2849" ht="25.8" customHeight="1">
      <c r="B2849" s="41" t="n"/>
      <c r="C2849" s="41" t="n"/>
      <c r="F2849" s="41" t="n"/>
      <c r="H2849" s="41" t="n"/>
    </row>
    <row r="2850" ht="25.8" customHeight="1">
      <c r="B2850" s="41" t="n"/>
      <c r="C2850" s="41" t="n"/>
      <c r="F2850" s="41" t="n"/>
      <c r="H2850" s="41" t="n"/>
    </row>
    <row r="2851" ht="25.8" customHeight="1">
      <c r="B2851" s="41" t="n"/>
      <c r="C2851" s="41" t="n"/>
      <c r="F2851" s="41" t="n"/>
      <c r="H2851" s="41" t="n"/>
    </row>
    <row r="2852" ht="25.8" customHeight="1">
      <c r="B2852" s="41" t="n"/>
      <c r="C2852" s="41" t="n"/>
      <c r="F2852" s="41" t="n"/>
      <c r="H2852" s="41" t="n"/>
    </row>
    <row r="2853" ht="25.8" customHeight="1">
      <c r="B2853" s="41" t="n"/>
      <c r="C2853" s="41" t="n"/>
      <c r="F2853" s="41" t="n"/>
      <c r="H2853" s="41" t="n"/>
    </row>
    <row r="2854" ht="25.8" customHeight="1">
      <c r="B2854" s="41" t="n"/>
      <c r="C2854" s="41" t="n"/>
      <c r="F2854" s="41" t="n"/>
      <c r="H2854" s="41" t="n"/>
    </row>
    <row r="2855" ht="25.8" customHeight="1">
      <c r="B2855" s="41" t="n"/>
      <c r="C2855" s="41" t="n"/>
      <c r="F2855" s="41" t="n"/>
      <c r="H2855" s="41" t="n"/>
    </row>
    <row r="2856" ht="25.8" customHeight="1">
      <c r="B2856" s="41" t="n"/>
      <c r="C2856" s="41" t="n"/>
      <c r="F2856" s="41" t="n"/>
      <c r="H2856" s="41" t="n"/>
    </row>
    <row r="2857" ht="25.8" customHeight="1">
      <c r="B2857" s="41" t="n"/>
      <c r="C2857" s="41" t="n"/>
      <c r="F2857" s="41" t="n"/>
      <c r="H2857" s="41" t="n"/>
    </row>
    <row r="2858" ht="25.8" customHeight="1">
      <c r="B2858" s="41" t="n"/>
      <c r="C2858" s="41" t="n"/>
      <c r="F2858" s="41" t="n"/>
      <c r="H2858" s="41" t="n"/>
    </row>
    <row r="2859" ht="25.8" customHeight="1">
      <c r="B2859" s="41" t="n"/>
      <c r="C2859" s="41" t="n"/>
      <c r="F2859" s="41" t="n"/>
      <c r="H2859" s="41" t="n"/>
    </row>
    <row r="2860" ht="25.8" customHeight="1">
      <c r="B2860" s="41" t="n"/>
      <c r="C2860" s="41" t="n"/>
      <c r="F2860" s="41" t="n"/>
      <c r="H2860" s="41" t="n"/>
    </row>
    <row r="2861" ht="25.8" customHeight="1">
      <c r="B2861" s="41" t="n"/>
      <c r="C2861" s="41" t="n"/>
      <c r="F2861" s="41" t="n"/>
      <c r="H2861" s="41" t="n"/>
    </row>
    <row r="2862" ht="25.8" customHeight="1">
      <c r="B2862" s="41" t="n"/>
      <c r="C2862" s="41" t="n"/>
      <c r="F2862" s="41" t="n"/>
      <c r="H2862" s="41" t="n"/>
    </row>
    <row r="2863" ht="25.8" customHeight="1">
      <c r="B2863" s="41" t="n"/>
      <c r="C2863" s="41" t="n"/>
      <c r="F2863" s="41" t="n"/>
      <c r="H2863" s="41" t="n"/>
    </row>
    <row r="2864" ht="25.8" customHeight="1">
      <c r="B2864" s="41" t="n"/>
      <c r="C2864" s="41" t="n"/>
      <c r="F2864" s="41" t="n"/>
      <c r="H2864" s="41" t="n"/>
    </row>
    <row r="2865" ht="25.8" customHeight="1">
      <c r="B2865" s="41" t="n"/>
      <c r="C2865" s="41" t="n"/>
      <c r="F2865" s="41" t="n"/>
      <c r="H2865" s="41" t="n"/>
    </row>
    <row r="2866" ht="25.8" customHeight="1">
      <c r="B2866" s="41" t="n"/>
      <c r="C2866" s="41" t="n"/>
      <c r="F2866" s="41" t="n"/>
      <c r="H2866" s="41" t="n"/>
    </row>
    <row r="2867" ht="25.8" customHeight="1">
      <c r="B2867" s="41" t="n"/>
      <c r="C2867" s="41" t="n"/>
      <c r="F2867" s="41" t="n"/>
      <c r="H2867" s="41" t="n"/>
    </row>
    <row r="2868" ht="25.8" customHeight="1">
      <c r="B2868" s="41" t="n"/>
      <c r="C2868" s="41" t="n"/>
      <c r="F2868" s="41" t="n"/>
      <c r="H2868" s="41" t="n"/>
    </row>
    <row r="2869" ht="25.8" customHeight="1">
      <c r="B2869" s="41" t="n"/>
      <c r="C2869" s="41" t="n"/>
      <c r="F2869" s="41" t="n"/>
      <c r="H2869" s="41" t="n"/>
    </row>
    <row r="2870" ht="25.8" customHeight="1">
      <c r="B2870" s="41" t="n"/>
      <c r="C2870" s="41" t="n"/>
      <c r="F2870" s="41" t="n"/>
      <c r="H2870" s="41" t="n"/>
    </row>
    <row r="2871" ht="25.8" customHeight="1">
      <c r="B2871" s="41" t="n"/>
      <c r="C2871" s="41" t="n"/>
      <c r="F2871" s="41" t="n"/>
      <c r="H2871" s="41" t="n"/>
    </row>
    <row r="2872" ht="25.8" customHeight="1">
      <c r="B2872" s="41" t="n"/>
      <c r="C2872" s="41" t="n"/>
      <c r="F2872" s="41" t="n"/>
      <c r="H2872" s="41" t="n"/>
    </row>
    <row r="2873" ht="25.8" customHeight="1">
      <c r="B2873" s="41" t="n"/>
      <c r="C2873" s="41" t="n"/>
      <c r="F2873" s="41" t="n"/>
      <c r="H2873" s="41" t="n"/>
    </row>
    <row r="2874" ht="25.8" customHeight="1">
      <c r="B2874" s="41" t="n"/>
      <c r="C2874" s="41" t="n"/>
      <c r="F2874" s="41" t="n"/>
      <c r="H2874" s="41" t="n"/>
    </row>
    <row r="2875" ht="25.8" customHeight="1">
      <c r="B2875" s="41" t="n"/>
      <c r="C2875" s="41" t="n"/>
      <c r="F2875" s="41" t="n"/>
      <c r="H2875" s="41" t="n"/>
    </row>
    <row r="2876" ht="25.8" customHeight="1">
      <c r="B2876" s="41" t="n"/>
      <c r="C2876" s="41" t="n"/>
      <c r="F2876" s="41" t="n"/>
      <c r="H2876" s="41" t="n"/>
    </row>
    <row r="2877" ht="25.8" customHeight="1">
      <c r="B2877" s="41" t="n"/>
      <c r="C2877" s="41" t="n"/>
      <c r="F2877" s="41" t="n"/>
      <c r="H2877" s="41" t="n"/>
    </row>
    <row r="2878" ht="25.8" customHeight="1">
      <c r="B2878" s="41" t="n"/>
      <c r="C2878" s="41" t="n"/>
      <c r="F2878" s="41" t="n"/>
      <c r="H2878" s="41" t="n"/>
    </row>
    <row r="2879" ht="25.8" customHeight="1">
      <c r="B2879" s="41" t="n"/>
      <c r="C2879" s="41" t="n"/>
      <c r="F2879" s="41" t="n"/>
      <c r="H2879" s="41" t="n"/>
    </row>
    <row r="2880" ht="25.8" customHeight="1">
      <c r="B2880" s="41" t="n"/>
      <c r="C2880" s="41" t="n"/>
      <c r="F2880" s="41" t="n"/>
      <c r="H2880" s="41" t="n"/>
    </row>
    <row r="2881" ht="25.8" customHeight="1">
      <c r="B2881" s="41" t="n"/>
      <c r="C2881" s="41" t="n"/>
      <c r="F2881" s="41" t="n"/>
      <c r="H2881" s="41" t="n"/>
    </row>
    <row r="2882" ht="25.8" customHeight="1">
      <c r="B2882" s="41" t="n"/>
      <c r="C2882" s="41" t="n"/>
      <c r="F2882" s="41" t="n"/>
      <c r="H2882" s="41" t="n"/>
    </row>
    <row r="2883" ht="25.8" customHeight="1">
      <c r="B2883" s="41" t="n"/>
      <c r="C2883" s="41" t="n"/>
      <c r="F2883" s="41" t="n"/>
      <c r="H2883" s="41" t="n"/>
    </row>
    <row r="2884" ht="25.8" customHeight="1">
      <c r="B2884" s="41" t="n"/>
      <c r="C2884" s="41" t="n"/>
      <c r="F2884" s="41" t="n"/>
      <c r="H2884" s="41" t="n"/>
    </row>
    <row r="2885" ht="25.8" customHeight="1">
      <c r="B2885" s="41" t="n"/>
      <c r="C2885" s="41" t="n"/>
      <c r="F2885" s="41" t="n"/>
      <c r="H2885" s="41" t="n"/>
    </row>
    <row r="2886" ht="25.8" customHeight="1">
      <c r="B2886" s="41" t="n"/>
      <c r="C2886" s="41" t="n"/>
      <c r="F2886" s="41" t="n"/>
      <c r="H2886" s="41" t="n"/>
    </row>
    <row r="2887" ht="25.8" customHeight="1">
      <c r="B2887" s="41" t="n"/>
      <c r="C2887" s="41" t="n"/>
      <c r="F2887" s="41" t="n"/>
      <c r="H2887" s="41" t="n"/>
    </row>
    <row r="2888" ht="25.8" customHeight="1">
      <c r="B2888" s="41" t="n"/>
      <c r="C2888" s="41" t="n"/>
      <c r="F2888" s="41" t="n"/>
      <c r="H2888" s="41" t="n"/>
    </row>
    <row r="2889" ht="25.8" customHeight="1">
      <c r="B2889" s="41" t="n"/>
      <c r="C2889" s="41" t="n"/>
      <c r="F2889" s="41" t="n"/>
      <c r="H2889" s="41" t="n"/>
    </row>
    <row r="2890" ht="25.8" customHeight="1">
      <c r="B2890" s="41" t="n"/>
      <c r="C2890" s="41" t="n"/>
      <c r="F2890" s="41" t="n"/>
      <c r="H2890" s="41" t="n"/>
    </row>
    <row r="2891" ht="25.8" customHeight="1">
      <c r="B2891" s="41" t="n"/>
      <c r="C2891" s="41" t="n"/>
      <c r="F2891" s="41" t="n"/>
      <c r="H2891" s="41" t="n"/>
    </row>
    <row r="2892" ht="25.8" customHeight="1">
      <c r="B2892" s="41" t="n"/>
      <c r="C2892" s="41" t="n"/>
      <c r="F2892" s="41" t="n"/>
      <c r="H2892" s="41" t="n"/>
    </row>
    <row r="2893" ht="25.8" customHeight="1">
      <c r="B2893" s="41" t="n"/>
      <c r="C2893" s="41" t="n"/>
      <c r="F2893" s="41" t="n"/>
      <c r="H2893" s="41" t="n"/>
    </row>
    <row r="2894" ht="25.8" customHeight="1">
      <c r="B2894" s="41" t="n"/>
      <c r="C2894" s="41" t="n"/>
      <c r="F2894" s="41" t="n"/>
      <c r="H2894" s="41" t="n"/>
    </row>
    <row r="2895" ht="25.8" customHeight="1">
      <c r="B2895" s="41" t="n"/>
      <c r="C2895" s="41" t="n"/>
      <c r="F2895" s="41" t="n"/>
      <c r="H2895" s="41" t="n"/>
    </row>
    <row r="2896" ht="25.8" customHeight="1">
      <c r="B2896" s="41" t="n"/>
      <c r="C2896" s="41" t="n"/>
      <c r="F2896" s="41" t="n"/>
      <c r="H2896" s="41" t="n"/>
    </row>
    <row r="2897" ht="25.8" customHeight="1">
      <c r="B2897" s="41" t="n"/>
      <c r="C2897" s="41" t="n"/>
      <c r="F2897" s="41" t="n"/>
      <c r="H2897" s="41" t="n"/>
    </row>
    <row r="2898" ht="25.8" customHeight="1">
      <c r="B2898" s="41" t="n"/>
      <c r="C2898" s="41" t="n"/>
      <c r="F2898" s="41" t="n"/>
      <c r="H2898" s="41" t="n"/>
    </row>
    <row r="2899" ht="25.8" customHeight="1">
      <c r="B2899" s="41" t="n"/>
      <c r="C2899" s="41" t="n"/>
      <c r="F2899" s="41" t="n"/>
      <c r="H2899" s="41" t="n"/>
    </row>
    <row r="2900" ht="25.8" customHeight="1">
      <c r="B2900" s="41" t="n"/>
      <c r="C2900" s="41" t="n"/>
      <c r="F2900" s="41" t="n"/>
      <c r="H2900" s="41" t="n"/>
    </row>
    <row r="2901" ht="25.8" customHeight="1">
      <c r="B2901" s="41" t="n"/>
      <c r="C2901" s="41" t="n"/>
      <c r="F2901" s="41" t="n"/>
      <c r="H2901" s="41" t="n"/>
    </row>
    <row r="2902" ht="25.8" customHeight="1">
      <c r="B2902" s="41" t="n"/>
      <c r="C2902" s="41" t="n"/>
      <c r="F2902" s="41" t="n"/>
      <c r="H2902" s="41" t="n"/>
    </row>
    <row r="2903" ht="25.8" customHeight="1">
      <c r="B2903" s="41" t="n"/>
      <c r="C2903" s="41" t="n"/>
      <c r="F2903" s="41" t="n"/>
      <c r="H2903" s="41" t="n"/>
    </row>
    <row r="2904" ht="25.8" customHeight="1">
      <c r="B2904" s="41" t="n"/>
      <c r="C2904" s="41" t="n"/>
      <c r="F2904" s="41" t="n"/>
      <c r="H2904" s="41" t="n"/>
    </row>
    <row r="2905" ht="25.8" customHeight="1">
      <c r="B2905" s="41" t="n"/>
      <c r="C2905" s="41" t="n"/>
      <c r="F2905" s="41" t="n"/>
      <c r="H2905" s="41" t="n"/>
    </row>
    <row r="2906" ht="25.8" customHeight="1">
      <c r="B2906" s="41" t="n"/>
      <c r="C2906" s="41" t="n"/>
      <c r="F2906" s="41" t="n"/>
      <c r="H2906" s="41" t="n"/>
    </row>
    <row r="2907" ht="25.8" customHeight="1">
      <c r="B2907" s="41" t="n"/>
      <c r="C2907" s="41" t="n"/>
      <c r="F2907" s="41" t="n"/>
      <c r="H2907" s="41" t="n"/>
    </row>
    <row r="2908" ht="25.8" customHeight="1">
      <c r="B2908" s="41" t="n"/>
      <c r="C2908" s="41" t="n"/>
      <c r="F2908" s="41" t="n"/>
      <c r="H2908" s="41" t="n"/>
    </row>
    <row r="2909" ht="25.8" customHeight="1">
      <c r="B2909" s="41" t="n"/>
      <c r="C2909" s="41" t="n"/>
      <c r="F2909" s="41" t="n"/>
      <c r="H2909" s="41" t="n"/>
    </row>
    <row r="2910" ht="25.8" customHeight="1">
      <c r="B2910" s="41" t="n"/>
      <c r="C2910" s="41" t="n"/>
      <c r="F2910" s="41" t="n"/>
      <c r="H2910" s="41" t="n"/>
    </row>
    <row r="2911" ht="25.8" customHeight="1">
      <c r="B2911" s="41" t="n"/>
      <c r="C2911" s="41" t="n"/>
      <c r="F2911" s="41" t="n"/>
      <c r="H2911" s="41" t="n"/>
    </row>
    <row r="2912" ht="25.8" customHeight="1">
      <c r="B2912" s="41" t="n"/>
      <c r="C2912" s="41" t="n"/>
      <c r="F2912" s="41" t="n"/>
      <c r="H2912" s="41" t="n"/>
    </row>
    <row r="2913" ht="25.8" customHeight="1">
      <c r="B2913" s="41" t="n"/>
      <c r="C2913" s="41" t="n"/>
      <c r="F2913" s="41" t="n"/>
      <c r="H2913" s="41" t="n"/>
    </row>
    <row r="2914" ht="25.8" customHeight="1">
      <c r="B2914" s="41" t="n"/>
      <c r="C2914" s="41" t="n"/>
      <c r="F2914" s="41" t="n"/>
      <c r="H2914" s="41" t="n"/>
    </row>
    <row r="2915" ht="25.8" customHeight="1">
      <c r="B2915" s="41" t="n"/>
      <c r="C2915" s="41" t="n"/>
      <c r="F2915" s="41" t="n"/>
      <c r="H2915" s="41" t="n"/>
    </row>
    <row r="2916" ht="25.8" customHeight="1">
      <c r="B2916" s="41" t="n"/>
      <c r="C2916" s="41" t="n"/>
      <c r="F2916" s="41" t="n"/>
      <c r="H2916" s="41" t="n"/>
    </row>
    <row r="2917" ht="25.8" customHeight="1">
      <c r="B2917" s="41" t="n"/>
      <c r="C2917" s="41" t="n"/>
      <c r="F2917" s="41" t="n"/>
      <c r="H2917" s="41" t="n"/>
    </row>
    <row r="2918" ht="25.8" customHeight="1">
      <c r="B2918" s="41" t="n"/>
      <c r="C2918" s="41" t="n"/>
      <c r="F2918" s="41" t="n"/>
      <c r="H2918" s="41" t="n"/>
    </row>
    <row r="2919" ht="25.8" customHeight="1">
      <c r="B2919" s="41" t="n"/>
      <c r="C2919" s="41" t="n"/>
      <c r="F2919" s="41" t="n"/>
      <c r="H2919" s="41" t="n"/>
    </row>
    <row r="2920" ht="25.8" customHeight="1">
      <c r="B2920" s="41" t="n"/>
      <c r="C2920" s="41" t="n"/>
      <c r="F2920" s="41" t="n"/>
      <c r="H2920" s="41" t="n"/>
    </row>
    <row r="2921" ht="25.8" customHeight="1">
      <c r="B2921" s="41" t="n"/>
      <c r="C2921" s="41" t="n"/>
      <c r="F2921" s="41" t="n"/>
      <c r="H2921" s="41" t="n"/>
    </row>
    <row r="2922" ht="25.8" customHeight="1">
      <c r="B2922" s="41" t="n"/>
      <c r="C2922" s="41" t="n"/>
      <c r="F2922" s="41" t="n"/>
      <c r="H2922" s="41" t="n"/>
    </row>
    <row r="2923" ht="25.8" customHeight="1">
      <c r="B2923" s="41" t="n"/>
      <c r="C2923" s="41" t="n"/>
      <c r="F2923" s="41" t="n"/>
      <c r="H2923" s="41" t="n"/>
    </row>
    <row r="2924" ht="25.8" customHeight="1">
      <c r="B2924" s="41" t="n"/>
      <c r="C2924" s="41" t="n"/>
      <c r="F2924" s="41" t="n"/>
      <c r="H2924" s="41" t="n"/>
    </row>
    <row r="2925" ht="25.8" customHeight="1">
      <c r="B2925" s="41" t="n"/>
      <c r="C2925" s="41" t="n"/>
      <c r="F2925" s="41" t="n"/>
      <c r="H2925" s="41" t="n"/>
    </row>
    <row r="2926" ht="25.8" customHeight="1">
      <c r="B2926" s="41" t="n"/>
      <c r="C2926" s="41" t="n"/>
      <c r="F2926" s="41" t="n"/>
      <c r="H2926" s="41" t="n"/>
    </row>
    <row r="2927" ht="25.8" customHeight="1">
      <c r="B2927" s="41" t="n"/>
      <c r="C2927" s="41" t="n"/>
      <c r="F2927" s="41" t="n"/>
      <c r="H2927" s="41" t="n"/>
    </row>
    <row r="2928" ht="25.8" customHeight="1">
      <c r="B2928" s="41" t="n"/>
      <c r="C2928" s="41" t="n"/>
      <c r="F2928" s="41" t="n"/>
      <c r="H2928" s="41" t="n"/>
    </row>
    <row r="2929" ht="25.8" customHeight="1">
      <c r="B2929" s="41" t="n"/>
      <c r="C2929" s="41" t="n"/>
      <c r="F2929" s="41" t="n"/>
      <c r="H2929" s="41" t="n"/>
    </row>
    <row r="2930" ht="25.8" customHeight="1">
      <c r="B2930" s="41" t="n"/>
      <c r="C2930" s="41" t="n"/>
      <c r="F2930" s="41" t="n"/>
      <c r="H2930" s="41" t="n"/>
    </row>
    <row r="2931" ht="25.8" customHeight="1">
      <c r="B2931" s="41" t="n"/>
      <c r="C2931" s="41" t="n"/>
      <c r="F2931" s="41" t="n"/>
      <c r="H2931" s="41" t="n"/>
    </row>
    <row r="2932" ht="25.8" customHeight="1">
      <c r="B2932" s="41" t="n"/>
      <c r="C2932" s="41" t="n"/>
      <c r="F2932" s="41" t="n"/>
      <c r="H2932" s="41" t="n"/>
    </row>
    <row r="2933" ht="25.8" customHeight="1">
      <c r="B2933" s="41" t="n"/>
      <c r="C2933" s="41" t="n"/>
      <c r="F2933" s="41" t="n"/>
      <c r="H2933" s="41" t="n"/>
    </row>
    <row r="2934" ht="25.8" customHeight="1">
      <c r="B2934" s="41" t="n"/>
      <c r="C2934" s="41" t="n"/>
      <c r="F2934" s="41" t="n"/>
      <c r="H2934" s="41" t="n"/>
    </row>
    <row r="2935" ht="25.8" customHeight="1">
      <c r="B2935" s="41" t="n"/>
      <c r="C2935" s="41" t="n"/>
      <c r="F2935" s="41" t="n"/>
      <c r="H2935" s="41" t="n"/>
    </row>
    <row r="2936" ht="25.8" customHeight="1">
      <c r="B2936" s="41" t="n"/>
      <c r="C2936" s="41" t="n"/>
      <c r="F2936" s="41" t="n"/>
      <c r="H2936" s="41" t="n"/>
    </row>
    <row r="2937" ht="25.8" customHeight="1">
      <c r="B2937" s="41" t="n"/>
      <c r="C2937" s="41" t="n"/>
      <c r="F2937" s="41" t="n"/>
      <c r="H2937" s="41" t="n"/>
    </row>
    <row r="2938" ht="25.8" customHeight="1">
      <c r="B2938" s="41" t="n"/>
      <c r="C2938" s="41" t="n"/>
      <c r="F2938" s="41" t="n"/>
      <c r="H2938" s="41" t="n"/>
    </row>
    <row r="2939" ht="25.8" customHeight="1">
      <c r="B2939" s="41" t="n"/>
      <c r="C2939" s="41" t="n"/>
      <c r="F2939" s="41" t="n"/>
      <c r="H2939" s="41" t="n"/>
    </row>
    <row r="2940" ht="25.8" customHeight="1">
      <c r="B2940" s="41" t="n"/>
      <c r="C2940" s="41" t="n"/>
      <c r="F2940" s="41" t="n"/>
      <c r="H2940" s="41" t="n"/>
    </row>
    <row r="2941" ht="25.8" customHeight="1">
      <c r="B2941" s="41" t="n"/>
      <c r="C2941" s="41" t="n"/>
      <c r="F2941" s="41" t="n"/>
      <c r="H2941" s="41" t="n"/>
    </row>
    <row r="2942" ht="25.8" customHeight="1">
      <c r="B2942" s="41" t="n"/>
      <c r="C2942" s="41" t="n"/>
      <c r="F2942" s="41" t="n"/>
      <c r="H2942" s="41" t="n"/>
    </row>
    <row r="2943" ht="25.8" customHeight="1">
      <c r="B2943" s="41" t="n"/>
      <c r="C2943" s="41" t="n"/>
      <c r="F2943" s="41" t="n"/>
      <c r="H2943" s="41" t="n"/>
    </row>
    <row r="2944" ht="25.8" customHeight="1">
      <c r="B2944" s="41" t="n"/>
      <c r="C2944" s="41" t="n"/>
      <c r="F2944" s="41" t="n"/>
      <c r="H2944" s="41" t="n"/>
    </row>
    <row r="2945" ht="25.8" customHeight="1">
      <c r="B2945" s="41" t="n"/>
      <c r="C2945" s="41" t="n"/>
      <c r="F2945" s="41" t="n"/>
      <c r="H2945" s="41" t="n"/>
    </row>
    <row r="2946" ht="25.8" customHeight="1">
      <c r="B2946" s="41" t="n"/>
      <c r="C2946" s="41" t="n"/>
      <c r="F2946" s="41" t="n"/>
      <c r="H2946" s="41" t="n"/>
    </row>
    <row r="2947" ht="25.8" customHeight="1">
      <c r="B2947" s="41" t="n"/>
      <c r="C2947" s="41" t="n"/>
      <c r="F2947" s="41" t="n"/>
      <c r="H2947" s="41" t="n"/>
    </row>
    <row r="2948" ht="25.8" customHeight="1">
      <c r="B2948" s="41" t="n"/>
      <c r="C2948" s="41" t="n"/>
      <c r="F2948" s="41" t="n"/>
      <c r="H2948" s="41" t="n"/>
    </row>
    <row r="2949" ht="25.8" customHeight="1">
      <c r="B2949" s="41" t="n"/>
      <c r="C2949" s="41" t="n"/>
      <c r="F2949" s="41" t="n"/>
      <c r="H2949" s="41" t="n"/>
    </row>
    <row r="2950" ht="25.8" customHeight="1">
      <c r="B2950" s="41" t="n"/>
      <c r="C2950" s="41" t="n"/>
      <c r="F2950" s="41" t="n"/>
      <c r="H2950" s="41" t="n"/>
    </row>
    <row r="2951" ht="25.8" customHeight="1">
      <c r="B2951" s="41" t="n"/>
      <c r="C2951" s="41" t="n"/>
      <c r="F2951" s="41" t="n"/>
      <c r="H2951" s="41" t="n"/>
    </row>
    <row r="2952" ht="25.8" customHeight="1">
      <c r="B2952" s="41" t="n"/>
      <c r="C2952" s="41" t="n"/>
      <c r="F2952" s="41" t="n"/>
      <c r="H2952" s="41" t="n"/>
    </row>
    <row r="2953" ht="25.8" customHeight="1">
      <c r="B2953" s="41" t="n"/>
      <c r="C2953" s="41" t="n"/>
      <c r="F2953" s="41" t="n"/>
      <c r="H2953" s="41" t="n"/>
    </row>
    <row r="2954" ht="25.8" customHeight="1">
      <c r="B2954" s="41" t="n"/>
      <c r="C2954" s="41" t="n"/>
      <c r="F2954" s="41" t="n"/>
      <c r="H2954" s="41" t="n"/>
    </row>
    <row r="2955" ht="25.8" customHeight="1">
      <c r="B2955" s="41" t="n"/>
      <c r="C2955" s="41" t="n"/>
      <c r="F2955" s="41" t="n"/>
      <c r="H2955" s="41" t="n"/>
    </row>
    <row r="2956" ht="25.8" customHeight="1">
      <c r="B2956" s="41" t="n"/>
      <c r="C2956" s="41" t="n"/>
      <c r="F2956" s="41" t="n"/>
      <c r="H2956" s="41" t="n"/>
    </row>
    <row r="2957" ht="25.8" customHeight="1">
      <c r="B2957" s="41" t="n"/>
      <c r="C2957" s="41" t="n"/>
      <c r="F2957" s="41" t="n"/>
      <c r="H2957" s="41" t="n"/>
    </row>
    <row r="2958" ht="25.8" customHeight="1">
      <c r="B2958" s="41" t="n"/>
      <c r="C2958" s="41" t="n"/>
      <c r="F2958" s="41" t="n"/>
      <c r="H2958" s="41" t="n"/>
    </row>
    <row r="2959" ht="25.8" customHeight="1">
      <c r="B2959" s="41" t="n"/>
      <c r="C2959" s="41" t="n"/>
      <c r="F2959" s="41" t="n"/>
      <c r="H2959" s="41" t="n"/>
    </row>
    <row r="2960" ht="25.8" customHeight="1">
      <c r="B2960" s="41" t="n"/>
      <c r="C2960" s="41" t="n"/>
      <c r="F2960" s="41" t="n"/>
      <c r="H2960" s="41" t="n"/>
    </row>
    <row r="2961" ht="25.8" customHeight="1">
      <c r="B2961" s="41" t="n"/>
      <c r="C2961" s="41" t="n"/>
      <c r="F2961" s="41" t="n"/>
      <c r="H2961" s="41" t="n"/>
    </row>
    <row r="2962" ht="25.8" customHeight="1">
      <c r="B2962" s="41" t="n"/>
      <c r="C2962" s="41" t="n"/>
      <c r="F2962" s="41" t="n"/>
      <c r="H2962" s="41" t="n"/>
    </row>
    <row r="2963" ht="25.8" customHeight="1">
      <c r="B2963" s="41" t="n"/>
      <c r="C2963" s="41" t="n"/>
      <c r="F2963" s="41" t="n"/>
      <c r="H2963" s="41" t="n"/>
    </row>
    <row r="2964" ht="25.8" customHeight="1">
      <c r="B2964" s="41" t="n"/>
      <c r="C2964" s="41" t="n"/>
      <c r="F2964" s="41" t="n"/>
      <c r="H2964" s="41" t="n"/>
    </row>
    <row r="2965" ht="25.8" customHeight="1">
      <c r="B2965" s="41" t="n"/>
      <c r="C2965" s="41" t="n"/>
      <c r="F2965" s="41" t="n"/>
      <c r="H2965" s="41" t="n"/>
    </row>
    <row r="2966" ht="25.8" customHeight="1">
      <c r="B2966" s="41" t="n"/>
      <c r="C2966" s="41" t="n"/>
      <c r="F2966" s="41" t="n"/>
      <c r="H2966" s="41" t="n"/>
    </row>
    <row r="2967" ht="25.8" customHeight="1">
      <c r="B2967" s="41" t="n"/>
      <c r="C2967" s="41" t="n"/>
      <c r="F2967" s="41" t="n"/>
      <c r="H2967" s="41" t="n"/>
    </row>
    <row r="2968" ht="25.8" customHeight="1">
      <c r="B2968" s="41" t="n"/>
      <c r="C2968" s="41" t="n"/>
      <c r="F2968" s="41" t="n"/>
      <c r="H2968" s="41" t="n"/>
    </row>
    <row r="2969" ht="25.8" customHeight="1">
      <c r="B2969" s="41" t="n"/>
      <c r="C2969" s="41" t="n"/>
      <c r="F2969" s="41" t="n"/>
      <c r="H2969" s="41" t="n"/>
    </row>
    <row r="2970" ht="25.8" customHeight="1">
      <c r="B2970" s="41" t="n"/>
      <c r="C2970" s="41" t="n"/>
      <c r="F2970" s="41" t="n"/>
      <c r="H2970" s="41" t="n"/>
    </row>
    <row r="2971" ht="25.8" customHeight="1">
      <c r="B2971" s="41" t="n"/>
      <c r="C2971" s="41" t="n"/>
      <c r="F2971" s="41" t="n"/>
      <c r="H2971" s="41" t="n"/>
    </row>
    <row r="2972" ht="25.8" customHeight="1">
      <c r="B2972" s="41" t="n"/>
      <c r="C2972" s="41" t="n"/>
      <c r="F2972" s="41" t="n"/>
      <c r="H2972" s="41" t="n"/>
    </row>
    <row r="2973" ht="25.8" customHeight="1">
      <c r="B2973" s="41" t="n"/>
      <c r="C2973" s="41" t="n"/>
      <c r="F2973" s="41" t="n"/>
      <c r="H2973" s="41" t="n"/>
    </row>
    <row r="2974" ht="25.8" customHeight="1">
      <c r="B2974" s="41" t="n"/>
      <c r="C2974" s="41" t="n"/>
      <c r="F2974" s="41" t="n"/>
      <c r="H2974" s="41" t="n"/>
    </row>
    <row r="2975" ht="25.8" customHeight="1">
      <c r="B2975" s="41" t="n"/>
      <c r="C2975" s="41" t="n"/>
      <c r="F2975" s="41" t="n"/>
      <c r="H2975" s="41" t="n"/>
    </row>
    <row r="2976" ht="25.8" customHeight="1">
      <c r="B2976" s="41" t="n"/>
      <c r="C2976" s="41" t="n"/>
      <c r="F2976" s="41" t="n"/>
      <c r="H2976" s="41" t="n"/>
    </row>
    <row r="2977" ht="25.8" customHeight="1">
      <c r="B2977" s="41" t="n"/>
      <c r="C2977" s="41" t="n"/>
      <c r="F2977" s="41" t="n"/>
      <c r="H2977" s="41" t="n"/>
    </row>
    <row r="2978" ht="25.8" customHeight="1">
      <c r="B2978" s="41" t="n"/>
      <c r="C2978" s="41" t="n"/>
      <c r="F2978" s="41" t="n"/>
      <c r="H2978" s="41" t="n"/>
    </row>
    <row r="2979" ht="25.8" customHeight="1">
      <c r="B2979" s="41" t="n"/>
      <c r="C2979" s="41" t="n"/>
      <c r="F2979" s="41" t="n"/>
      <c r="H2979" s="41" t="n"/>
    </row>
    <row r="2980" ht="25.8" customHeight="1">
      <c r="B2980" s="41" t="n"/>
      <c r="C2980" s="41" t="n"/>
      <c r="F2980" s="41" t="n"/>
      <c r="H2980" s="41" t="n"/>
    </row>
    <row r="2981" ht="25.8" customHeight="1">
      <c r="B2981" s="41" t="n"/>
      <c r="C2981" s="41" t="n"/>
      <c r="F2981" s="41" t="n"/>
      <c r="H2981" s="41" t="n"/>
    </row>
    <row r="2982" ht="25.8" customHeight="1">
      <c r="B2982" s="41" t="n"/>
      <c r="C2982" s="41" t="n"/>
      <c r="F2982" s="41" t="n"/>
      <c r="H2982" s="41" t="n"/>
    </row>
    <row r="2983" ht="25.8" customHeight="1">
      <c r="B2983" s="41" t="n"/>
      <c r="C2983" s="41" t="n"/>
      <c r="F2983" s="41" t="n"/>
      <c r="H2983" s="41" t="n"/>
    </row>
    <row r="2984" ht="25.8" customHeight="1">
      <c r="B2984" s="41" t="n"/>
      <c r="C2984" s="41" t="n"/>
      <c r="F2984" s="41" t="n"/>
      <c r="H2984" s="41" t="n"/>
    </row>
    <row r="2985" ht="25.8" customHeight="1">
      <c r="B2985" s="41" t="n"/>
      <c r="C2985" s="41" t="n"/>
      <c r="F2985" s="41" t="n"/>
      <c r="H2985" s="41" t="n"/>
    </row>
    <row r="2986" ht="25.8" customHeight="1">
      <c r="B2986" s="41" t="n"/>
      <c r="C2986" s="41" t="n"/>
      <c r="F2986" s="41" t="n"/>
      <c r="H2986" s="41" t="n"/>
    </row>
    <row r="2987" ht="25.8" customHeight="1">
      <c r="B2987" s="41" t="n"/>
      <c r="C2987" s="41" t="n"/>
      <c r="F2987" s="41" t="n"/>
      <c r="H2987" s="41" t="n"/>
    </row>
    <row r="2988" ht="25.8" customHeight="1">
      <c r="B2988" s="41" t="n"/>
      <c r="C2988" s="41" t="n"/>
      <c r="F2988" s="41" t="n"/>
      <c r="H2988" s="41" t="n"/>
    </row>
    <row r="2989" ht="25.8" customHeight="1">
      <c r="B2989" s="41" t="n"/>
      <c r="C2989" s="41" t="n"/>
      <c r="F2989" s="41" t="n"/>
      <c r="H2989" s="41" t="n"/>
    </row>
    <row r="2990" ht="25.8" customHeight="1">
      <c r="B2990" s="41" t="n"/>
      <c r="C2990" s="41" t="n"/>
      <c r="F2990" s="41" t="n"/>
      <c r="H2990" s="41" t="n"/>
    </row>
    <row r="2991" ht="25.8" customHeight="1">
      <c r="B2991" s="41" t="n"/>
      <c r="C2991" s="41" t="n"/>
      <c r="F2991" s="41" t="n"/>
      <c r="H2991" s="41" t="n"/>
    </row>
    <row r="2992" ht="25.8" customHeight="1">
      <c r="B2992" s="41" t="n"/>
      <c r="C2992" s="41" t="n"/>
      <c r="F2992" s="41" t="n"/>
      <c r="H2992" s="41" t="n"/>
    </row>
    <row r="2993" ht="25.8" customHeight="1">
      <c r="B2993" s="41" t="n"/>
      <c r="C2993" s="41" t="n"/>
      <c r="F2993" s="41" t="n"/>
      <c r="H2993" s="41" t="n"/>
    </row>
    <row r="2994" ht="25.8" customHeight="1">
      <c r="B2994" s="41" t="n"/>
      <c r="C2994" s="41" t="n"/>
      <c r="F2994" s="41" t="n"/>
      <c r="H2994" s="41" t="n"/>
    </row>
    <row r="2995" ht="25.8" customHeight="1">
      <c r="B2995" s="41" t="n"/>
      <c r="C2995" s="41" t="n"/>
      <c r="F2995" s="41" t="n"/>
      <c r="H2995" s="41" t="n"/>
    </row>
    <row r="2996" ht="25.8" customHeight="1">
      <c r="B2996" s="41" t="n"/>
      <c r="C2996" s="41" t="n"/>
      <c r="F2996" s="41" t="n"/>
      <c r="H2996" s="41" t="n"/>
    </row>
    <row r="2997" ht="25.8" customHeight="1">
      <c r="B2997" s="41" t="n"/>
      <c r="C2997" s="41" t="n"/>
      <c r="F2997" s="41" t="n"/>
      <c r="H2997" s="41" t="n"/>
    </row>
    <row r="2998" ht="25.8" customHeight="1">
      <c r="B2998" s="41" t="n"/>
      <c r="C2998" s="41" t="n"/>
      <c r="F2998" s="41" t="n"/>
      <c r="H2998" s="41" t="n"/>
    </row>
    <row r="2999" ht="25.8" customHeight="1">
      <c r="B2999" s="41" t="n"/>
      <c r="C2999" s="41" t="n"/>
      <c r="F2999" s="41" t="n"/>
      <c r="H2999" s="41" t="n"/>
    </row>
    <row r="3000" ht="25.8" customHeight="1">
      <c r="B3000" s="41" t="n"/>
      <c r="C3000" s="41" t="n"/>
      <c r="F3000" s="41" t="n"/>
      <c r="H3000" s="41" t="n"/>
    </row>
    <row r="3001" ht="25.8" customHeight="1">
      <c r="B3001" s="41" t="n"/>
      <c r="C3001" s="41" t="n"/>
      <c r="F3001" s="41" t="n"/>
      <c r="H3001" s="41" t="n"/>
    </row>
    <row r="3002" ht="25.8" customHeight="1">
      <c r="B3002" s="41" t="n"/>
      <c r="C3002" s="41" t="n"/>
      <c r="F3002" s="41" t="n"/>
      <c r="H3002" s="41" t="n"/>
    </row>
    <row r="3003" ht="25.8" customHeight="1">
      <c r="B3003" s="41" t="n"/>
      <c r="C3003" s="41" t="n"/>
      <c r="F3003" s="41" t="n"/>
      <c r="H3003" s="41" t="n"/>
    </row>
    <row r="3004" ht="25.8" customHeight="1">
      <c r="B3004" s="41" t="n"/>
      <c r="C3004" s="41" t="n"/>
      <c r="F3004" s="41" t="n"/>
      <c r="H3004" s="41" t="n"/>
    </row>
    <row r="3005" ht="25.8" customHeight="1">
      <c r="B3005" s="41" t="n"/>
      <c r="C3005" s="41" t="n"/>
      <c r="F3005" s="41" t="n"/>
      <c r="H3005" s="41" t="n"/>
    </row>
    <row r="3006" ht="25.8" customHeight="1">
      <c r="B3006" s="41" t="n"/>
      <c r="C3006" s="41" t="n"/>
      <c r="F3006" s="41" t="n"/>
      <c r="H3006" s="41" t="n"/>
    </row>
    <row r="3007" ht="25.8" customHeight="1">
      <c r="B3007" s="41" t="n"/>
      <c r="C3007" s="41" t="n"/>
      <c r="F3007" s="41" t="n"/>
      <c r="H3007" s="41" t="n"/>
    </row>
    <row r="3008" ht="25.8" customHeight="1">
      <c r="B3008" s="41" t="n"/>
      <c r="C3008" s="41" t="n"/>
      <c r="F3008" s="41" t="n"/>
      <c r="H3008" s="41" t="n"/>
    </row>
    <row r="3009" ht="25.8" customHeight="1">
      <c r="B3009" s="41" t="n"/>
      <c r="C3009" s="41" t="n"/>
      <c r="F3009" s="41" t="n"/>
      <c r="H3009" s="41" t="n"/>
    </row>
    <row r="3010" ht="25.8" customHeight="1">
      <c r="B3010" s="41" t="n"/>
      <c r="C3010" s="41" t="n"/>
      <c r="F3010" s="41" t="n"/>
      <c r="H3010" s="41" t="n"/>
    </row>
    <row r="3011" ht="25.8" customHeight="1">
      <c r="B3011" s="41" t="n"/>
      <c r="C3011" s="41" t="n"/>
      <c r="F3011" s="41" t="n"/>
      <c r="H3011" s="41" t="n"/>
    </row>
    <row r="3012" ht="25.8" customHeight="1">
      <c r="B3012" s="41" t="n"/>
      <c r="C3012" s="41" t="n"/>
      <c r="F3012" s="41" t="n"/>
      <c r="H3012" s="41" t="n"/>
    </row>
    <row r="3013" ht="25.8" customHeight="1">
      <c r="B3013" s="41" t="n"/>
      <c r="C3013" s="41" t="n"/>
      <c r="F3013" s="41" t="n"/>
      <c r="H3013" s="41" t="n"/>
    </row>
    <row r="3014" ht="25.8" customHeight="1">
      <c r="B3014" s="41" t="n"/>
      <c r="C3014" s="41" t="n"/>
      <c r="F3014" s="41" t="n"/>
      <c r="H3014" s="41" t="n"/>
    </row>
    <row r="3015" ht="25.8" customHeight="1">
      <c r="B3015" s="41" t="n"/>
      <c r="C3015" s="41" t="n"/>
      <c r="F3015" s="41" t="n"/>
      <c r="H3015" s="41" t="n"/>
    </row>
    <row r="3016" ht="25.8" customHeight="1">
      <c r="B3016" s="41" t="n"/>
      <c r="C3016" s="41" t="n"/>
      <c r="F3016" s="41" t="n"/>
      <c r="H3016" s="41" t="n"/>
    </row>
    <row r="3017" ht="25.8" customHeight="1">
      <c r="B3017" s="41" t="n"/>
      <c r="C3017" s="41" t="n"/>
      <c r="F3017" s="41" t="n"/>
      <c r="H3017" s="41" t="n"/>
    </row>
    <row r="3018" ht="25.8" customHeight="1">
      <c r="B3018" s="41" t="n"/>
      <c r="C3018" s="41" t="n"/>
      <c r="F3018" s="41" t="n"/>
      <c r="H3018" s="41" t="n"/>
    </row>
    <row r="3019" ht="25.8" customHeight="1">
      <c r="B3019" s="41" t="n"/>
      <c r="C3019" s="41" t="n"/>
      <c r="F3019" s="41" t="n"/>
      <c r="H3019" s="41" t="n"/>
    </row>
    <row r="3020" ht="25.8" customHeight="1">
      <c r="B3020" s="41" t="n"/>
      <c r="C3020" s="41" t="n"/>
      <c r="F3020" s="41" t="n"/>
      <c r="H3020" s="41" t="n"/>
    </row>
    <row r="3021" ht="25.8" customHeight="1">
      <c r="B3021" s="41" t="n"/>
      <c r="C3021" s="41" t="n"/>
      <c r="F3021" s="41" t="n"/>
      <c r="H3021" s="41" t="n"/>
    </row>
    <row r="3022" ht="25.8" customHeight="1">
      <c r="B3022" s="41" t="n"/>
      <c r="C3022" s="41" t="n"/>
      <c r="F3022" s="41" t="n"/>
      <c r="H3022" s="41" t="n"/>
    </row>
    <row r="3023" ht="25.8" customHeight="1">
      <c r="B3023" s="41" t="n"/>
      <c r="C3023" s="41" t="n"/>
      <c r="F3023" s="41" t="n"/>
      <c r="H3023" s="41" t="n"/>
    </row>
    <row r="3024" ht="25.8" customHeight="1">
      <c r="B3024" s="41" t="n"/>
      <c r="C3024" s="41" t="n"/>
      <c r="F3024" s="41" t="n"/>
      <c r="H3024" s="41" t="n"/>
    </row>
    <row r="3025" ht="25.8" customHeight="1">
      <c r="B3025" s="41" t="n"/>
      <c r="C3025" s="41" t="n"/>
      <c r="F3025" s="41" t="n"/>
      <c r="H3025" s="41" t="n"/>
    </row>
    <row r="3026" ht="25.8" customHeight="1">
      <c r="B3026" s="41" t="n"/>
      <c r="C3026" s="41" t="n"/>
      <c r="F3026" s="41" t="n"/>
      <c r="H3026" s="41" t="n"/>
    </row>
    <row r="3027" ht="25.8" customHeight="1">
      <c r="B3027" s="41" t="n"/>
      <c r="C3027" s="41" t="n"/>
      <c r="F3027" s="41" t="n"/>
      <c r="H3027" s="41" t="n"/>
    </row>
    <row r="3028" ht="25.8" customHeight="1">
      <c r="B3028" s="41" t="n"/>
      <c r="C3028" s="41" t="n"/>
      <c r="F3028" s="41" t="n"/>
      <c r="H3028" s="41" t="n"/>
    </row>
    <row r="3029" ht="25.8" customHeight="1">
      <c r="B3029" s="41" t="n"/>
      <c r="C3029" s="41" t="n"/>
      <c r="F3029" s="41" t="n"/>
      <c r="H3029" s="41" t="n"/>
    </row>
    <row r="3030" ht="25.8" customHeight="1">
      <c r="B3030" s="41" t="n"/>
      <c r="C3030" s="41" t="n"/>
      <c r="F3030" s="41" t="n"/>
      <c r="H3030" s="41" t="n"/>
    </row>
    <row r="3031" ht="25.8" customHeight="1">
      <c r="B3031" s="41" t="n"/>
      <c r="C3031" s="41" t="n"/>
      <c r="F3031" s="41" t="n"/>
      <c r="H3031" s="41" t="n"/>
    </row>
    <row r="3032" ht="25.8" customHeight="1">
      <c r="B3032" s="41" t="n"/>
      <c r="C3032" s="41" t="n"/>
      <c r="F3032" s="41" t="n"/>
      <c r="H3032" s="41" t="n"/>
    </row>
    <row r="3033" ht="25.8" customHeight="1">
      <c r="B3033" s="41" t="n"/>
      <c r="C3033" s="41" t="n"/>
      <c r="F3033" s="41" t="n"/>
      <c r="H3033" s="41" t="n"/>
    </row>
    <row r="3034" ht="25.8" customHeight="1">
      <c r="B3034" s="41" t="n"/>
      <c r="C3034" s="41" t="n"/>
      <c r="F3034" s="41" t="n"/>
      <c r="H3034" s="41" t="n"/>
    </row>
    <row r="3035" ht="25.8" customHeight="1">
      <c r="B3035" s="41" t="n"/>
      <c r="C3035" s="41" t="n"/>
      <c r="F3035" s="41" t="n"/>
      <c r="H3035" s="41" t="n"/>
    </row>
    <row r="3036" ht="25.8" customHeight="1">
      <c r="B3036" s="41" t="n"/>
      <c r="C3036" s="41" t="n"/>
      <c r="F3036" s="41" t="n"/>
      <c r="H3036" s="41" t="n"/>
    </row>
    <row r="3037" ht="25.8" customHeight="1">
      <c r="B3037" s="41" t="n"/>
      <c r="C3037" s="41" t="n"/>
      <c r="F3037" s="41" t="n"/>
      <c r="H3037" s="41" t="n"/>
    </row>
    <row r="3038" ht="25.8" customHeight="1">
      <c r="B3038" s="41" t="n"/>
      <c r="C3038" s="41" t="n"/>
      <c r="F3038" s="41" t="n"/>
      <c r="H3038" s="41" t="n"/>
    </row>
    <row r="3039" ht="25.8" customHeight="1">
      <c r="B3039" s="41" t="n"/>
      <c r="C3039" s="41" t="n"/>
      <c r="F3039" s="41" t="n"/>
      <c r="H3039" s="41" t="n"/>
    </row>
    <row r="3040" ht="25.8" customHeight="1">
      <c r="B3040" s="41" t="n"/>
      <c r="C3040" s="41" t="n"/>
      <c r="F3040" s="41" t="n"/>
      <c r="H3040" s="41" t="n"/>
    </row>
    <row r="3041" ht="25.8" customHeight="1">
      <c r="B3041" s="41" t="n"/>
      <c r="C3041" s="41" t="n"/>
      <c r="F3041" s="41" t="n"/>
      <c r="H3041" s="41" t="n"/>
    </row>
    <row r="3042" ht="25.8" customHeight="1">
      <c r="B3042" s="41" t="n"/>
      <c r="C3042" s="41" t="n"/>
      <c r="F3042" s="41" t="n"/>
      <c r="H3042" s="41" t="n"/>
    </row>
    <row r="3043" ht="25.8" customHeight="1">
      <c r="B3043" s="41" t="n"/>
      <c r="C3043" s="41" t="n"/>
      <c r="F3043" s="41" t="n"/>
      <c r="H3043" s="41" t="n"/>
    </row>
    <row r="3044" ht="25.8" customHeight="1">
      <c r="B3044" s="41" t="n"/>
      <c r="C3044" s="41" t="n"/>
      <c r="F3044" s="41" t="n"/>
      <c r="H3044" s="41" t="n"/>
    </row>
    <row r="3045" ht="25.8" customHeight="1">
      <c r="B3045" s="41" t="n"/>
      <c r="C3045" s="41" t="n"/>
      <c r="F3045" s="41" t="n"/>
      <c r="H3045" s="41" t="n"/>
    </row>
    <row r="3046" ht="25.8" customHeight="1">
      <c r="B3046" s="41" t="n"/>
      <c r="C3046" s="41" t="n"/>
      <c r="F3046" s="41" t="n"/>
      <c r="H3046" s="41" t="n"/>
    </row>
    <row r="3047" ht="25.8" customHeight="1">
      <c r="B3047" s="41" t="n"/>
      <c r="C3047" s="41" t="n"/>
      <c r="F3047" s="41" t="n"/>
      <c r="H3047" s="41" t="n"/>
    </row>
    <row r="3048" ht="25.8" customHeight="1">
      <c r="B3048" s="41" t="n"/>
      <c r="C3048" s="41" t="n"/>
      <c r="F3048" s="41" t="n"/>
      <c r="H3048" s="41" t="n"/>
    </row>
    <row r="3049" ht="25.8" customHeight="1">
      <c r="B3049" s="41" t="n"/>
      <c r="C3049" s="41" t="n"/>
      <c r="F3049" s="41" t="n"/>
      <c r="H3049" s="41" t="n"/>
    </row>
    <row r="3050" ht="25.8" customHeight="1">
      <c r="B3050" s="41" t="n"/>
      <c r="C3050" s="41" t="n"/>
      <c r="F3050" s="41" t="n"/>
      <c r="H3050" s="41" t="n"/>
    </row>
    <row r="3051" ht="25.8" customHeight="1">
      <c r="B3051" s="41" t="n"/>
      <c r="C3051" s="41" t="n"/>
      <c r="F3051" s="41" t="n"/>
      <c r="H3051" s="41" t="n"/>
    </row>
    <row r="3052" ht="25.8" customHeight="1">
      <c r="B3052" s="41" t="n"/>
      <c r="C3052" s="41" t="n"/>
      <c r="F3052" s="41" t="n"/>
      <c r="H3052" s="41" t="n"/>
    </row>
    <row r="3053" ht="25.8" customHeight="1">
      <c r="B3053" s="41" t="n"/>
      <c r="C3053" s="41" t="n"/>
      <c r="F3053" s="41" t="n"/>
      <c r="H3053" s="41" t="n"/>
    </row>
    <row r="3054" ht="25.8" customHeight="1">
      <c r="B3054" s="41" t="n"/>
      <c r="C3054" s="41" t="n"/>
      <c r="F3054" s="41" t="n"/>
      <c r="H3054" s="41" t="n"/>
    </row>
    <row r="3055" ht="25.8" customHeight="1">
      <c r="B3055" s="41" t="n"/>
      <c r="C3055" s="41" t="n"/>
      <c r="F3055" s="41" t="n"/>
      <c r="H3055" s="41" t="n"/>
    </row>
    <row r="3056" ht="25.8" customHeight="1">
      <c r="B3056" s="41" t="n"/>
      <c r="C3056" s="41" t="n"/>
      <c r="F3056" s="41" t="n"/>
      <c r="H3056" s="41" t="n"/>
    </row>
    <row r="3057" ht="25.8" customHeight="1">
      <c r="B3057" s="41" t="n"/>
      <c r="C3057" s="41" t="n"/>
      <c r="F3057" s="41" t="n"/>
      <c r="H3057" s="41" t="n"/>
    </row>
    <row r="3058" ht="25.8" customHeight="1">
      <c r="B3058" s="41" t="n"/>
      <c r="C3058" s="41" t="n"/>
      <c r="F3058" s="41" t="n"/>
      <c r="H3058" s="41" t="n"/>
    </row>
    <row r="3059" ht="25.8" customHeight="1">
      <c r="B3059" s="41" t="n"/>
      <c r="C3059" s="41" t="n"/>
      <c r="F3059" s="41" t="n"/>
      <c r="H3059" s="41" t="n"/>
    </row>
    <row r="3060" ht="25.8" customHeight="1">
      <c r="B3060" s="41" t="n"/>
      <c r="C3060" s="41" t="n"/>
      <c r="F3060" s="41" t="n"/>
      <c r="H3060" s="41" t="n"/>
    </row>
    <row r="3061" ht="25.8" customHeight="1">
      <c r="B3061" s="41" t="n"/>
      <c r="C3061" s="41" t="n"/>
      <c r="F3061" s="41" t="n"/>
      <c r="H3061" s="41" t="n"/>
    </row>
    <row r="3062" ht="25.8" customHeight="1">
      <c r="B3062" s="41" t="n"/>
      <c r="C3062" s="41" t="n"/>
      <c r="F3062" s="41" t="n"/>
      <c r="H3062" s="41" t="n"/>
    </row>
    <row r="3063" ht="25.8" customHeight="1">
      <c r="B3063" s="41" t="n"/>
      <c r="C3063" s="41" t="n"/>
      <c r="F3063" s="41" t="n"/>
      <c r="H3063" s="41" t="n"/>
    </row>
    <row r="3064" ht="25.8" customHeight="1">
      <c r="B3064" s="41" t="n"/>
      <c r="C3064" s="41" t="n"/>
      <c r="F3064" s="41" t="n"/>
      <c r="H3064" s="41" t="n"/>
    </row>
    <row r="3065" ht="25.8" customHeight="1">
      <c r="B3065" s="41" t="n"/>
      <c r="C3065" s="41" t="n"/>
      <c r="F3065" s="41" t="n"/>
      <c r="H3065" s="41" t="n"/>
    </row>
    <row r="3066" ht="25.8" customHeight="1">
      <c r="B3066" s="41" t="n"/>
      <c r="C3066" s="41" t="n"/>
      <c r="F3066" s="41" t="n"/>
      <c r="H3066" s="41" t="n"/>
    </row>
    <row r="3067" ht="25.8" customHeight="1">
      <c r="B3067" s="41" t="n"/>
      <c r="C3067" s="41" t="n"/>
      <c r="F3067" s="41" t="n"/>
      <c r="H3067" s="41" t="n"/>
    </row>
    <row r="3068" ht="25.8" customHeight="1">
      <c r="B3068" s="41" t="n"/>
      <c r="C3068" s="41" t="n"/>
      <c r="F3068" s="41" t="n"/>
      <c r="H3068" s="41" t="n"/>
    </row>
    <row r="3069" ht="25.8" customHeight="1">
      <c r="B3069" s="41" t="n"/>
      <c r="C3069" s="41" t="n"/>
      <c r="F3069" s="41" t="n"/>
      <c r="H3069" s="41" t="n"/>
    </row>
    <row r="3070" ht="25.8" customHeight="1">
      <c r="B3070" s="41" t="n"/>
      <c r="C3070" s="41" t="n"/>
      <c r="F3070" s="41" t="n"/>
      <c r="H3070" s="41" t="n"/>
    </row>
    <row r="3071" ht="25.8" customHeight="1">
      <c r="B3071" s="41" t="n"/>
      <c r="C3071" s="41" t="n"/>
      <c r="F3071" s="41" t="n"/>
      <c r="H3071" s="41" t="n"/>
    </row>
    <row r="3072" ht="25.8" customHeight="1">
      <c r="B3072" s="41" t="n"/>
      <c r="C3072" s="41" t="n"/>
      <c r="F3072" s="41" t="n"/>
      <c r="H3072" s="41" t="n"/>
    </row>
    <row r="3073" ht="25.8" customHeight="1">
      <c r="B3073" s="41" t="n"/>
      <c r="C3073" s="41" t="n"/>
      <c r="F3073" s="41" t="n"/>
      <c r="H3073" s="41" t="n"/>
    </row>
    <row r="3074" ht="25.8" customHeight="1">
      <c r="B3074" s="41" t="n"/>
      <c r="C3074" s="41" t="n"/>
      <c r="F3074" s="41" t="n"/>
      <c r="H3074" s="41" t="n"/>
    </row>
    <row r="3075" ht="25.8" customHeight="1">
      <c r="B3075" s="41" t="n"/>
      <c r="C3075" s="41" t="n"/>
      <c r="F3075" s="41" t="n"/>
      <c r="H3075" s="41" t="n"/>
    </row>
    <row r="3076" ht="25.8" customHeight="1">
      <c r="B3076" s="41" t="n"/>
      <c r="C3076" s="41" t="n"/>
      <c r="F3076" s="41" t="n"/>
      <c r="H3076" s="41" t="n"/>
    </row>
    <row r="3077" ht="25.8" customHeight="1">
      <c r="B3077" s="41" t="n"/>
      <c r="C3077" s="41" t="n"/>
      <c r="F3077" s="41" t="n"/>
      <c r="H3077" s="41" t="n"/>
    </row>
    <row r="3078" ht="25.8" customHeight="1">
      <c r="B3078" s="41" t="n"/>
      <c r="C3078" s="41" t="n"/>
      <c r="F3078" s="41" t="n"/>
      <c r="H3078" s="41" t="n"/>
    </row>
    <row r="3079" ht="25.8" customHeight="1">
      <c r="B3079" s="41" t="n"/>
      <c r="C3079" s="41" t="n"/>
      <c r="F3079" s="41" t="n"/>
      <c r="H3079" s="41" t="n"/>
    </row>
    <row r="3080" ht="25.8" customHeight="1">
      <c r="B3080" s="41" t="n"/>
      <c r="C3080" s="41" t="n"/>
      <c r="F3080" s="41" t="n"/>
      <c r="H3080" s="41" t="n"/>
    </row>
    <row r="3081" ht="25.8" customHeight="1">
      <c r="B3081" s="41" t="n"/>
      <c r="C3081" s="41" t="n"/>
      <c r="F3081" s="41" t="n"/>
      <c r="H3081" s="41" t="n"/>
    </row>
    <row r="3082" ht="25.8" customHeight="1">
      <c r="B3082" s="41" t="n"/>
      <c r="C3082" s="41" t="n"/>
      <c r="F3082" s="41" t="n"/>
      <c r="H3082" s="41" t="n"/>
    </row>
    <row r="3083" ht="25.8" customHeight="1">
      <c r="B3083" s="41" t="n"/>
      <c r="C3083" s="41" t="n"/>
      <c r="F3083" s="41" t="n"/>
      <c r="H3083" s="41" t="n"/>
    </row>
    <row r="3084" ht="25.8" customHeight="1">
      <c r="B3084" s="41" t="n"/>
      <c r="C3084" s="41" t="n"/>
      <c r="F3084" s="41" t="n"/>
      <c r="H3084" s="41" t="n"/>
    </row>
    <row r="3085" ht="25.8" customHeight="1">
      <c r="B3085" s="41" t="n"/>
      <c r="C3085" s="41" t="n"/>
      <c r="F3085" s="41" t="n"/>
      <c r="H3085" s="41" t="n"/>
    </row>
    <row r="3086" ht="25.8" customHeight="1">
      <c r="B3086" s="41" t="n"/>
      <c r="C3086" s="41" t="n"/>
      <c r="F3086" s="41" t="n"/>
      <c r="H3086" s="41" t="n"/>
    </row>
    <row r="3087" ht="25.8" customHeight="1">
      <c r="B3087" s="41" t="n"/>
      <c r="C3087" s="41" t="n"/>
      <c r="F3087" s="41" t="n"/>
      <c r="H3087" s="41" t="n"/>
    </row>
    <row r="3088" ht="25.8" customHeight="1">
      <c r="B3088" s="41" t="n"/>
      <c r="C3088" s="41" t="n"/>
      <c r="F3088" s="41" t="n"/>
      <c r="H3088" s="41" t="n"/>
    </row>
    <row r="3089" ht="25.8" customHeight="1">
      <c r="B3089" s="41" t="n"/>
      <c r="C3089" s="41" t="n"/>
      <c r="F3089" s="41" t="n"/>
      <c r="H3089" s="41" t="n"/>
    </row>
    <row r="3090" ht="25.8" customHeight="1">
      <c r="B3090" s="41" t="n"/>
      <c r="C3090" s="41" t="n"/>
      <c r="F3090" s="41" t="n"/>
      <c r="H3090" s="41" t="n"/>
    </row>
    <row r="3091" ht="25.8" customHeight="1">
      <c r="B3091" s="41" t="n"/>
      <c r="C3091" s="41" t="n"/>
      <c r="F3091" s="41" t="n"/>
      <c r="H3091" s="41" t="n"/>
    </row>
    <row r="3092" ht="25.8" customHeight="1">
      <c r="B3092" s="41" t="n"/>
      <c r="C3092" s="41" t="n"/>
      <c r="F3092" s="41" t="n"/>
      <c r="H3092" s="41" t="n"/>
    </row>
    <row r="3093" ht="25.8" customHeight="1">
      <c r="B3093" s="41" t="n"/>
      <c r="C3093" s="41" t="n"/>
      <c r="F3093" s="41" t="n"/>
      <c r="H3093" s="41" t="n"/>
    </row>
    <row r="3094" ht="25.8" customHeight="1">
      <c r="B3094" s="41" t="n"/>
      <c r="C3094" s="41" t="n"/>
      <c r="F3094" s="41" t="n"/>
      <c r="H3094" s="41" t="n"/>
    </row>
    <row r="3095" ht="25.8" customHeight="1">
      <c r="B3095" s="41" t="n"/>
      <c r="C3095" s="41" t="n"/>
      <c r="F3095" s="41" t="n"/>
      <c r="H3095" s="41" t="n"/>
    </row>
    <row r="3096" ht="25.8" customHeight="1">
      <c r="B3096" s="41" t="n"/>
      <c r="C3096" s="41" t="n"/>
      <c r="F3096" s="41" t="n"/>
      <c r="H3096" s="41" t="n"/>
    </row>
    <row r="3097" ht="25.8" customHeight="1">
      <c r="B3097" s="41" t="n"/>
      <c r="C3097" s="41" t="n"/>
      <c r="F3097" s="41" t="n"/>
      <c r="H3097" s="41" t="n"/>
    </row>
    <row r="3098" ht="25.8" customHeight="1">
      <c r="B3098" s="41" t="n"/>
      <c r="C3098" s="41" t="n"/>
      <c r="F3098" s="41" t="n"/>
      <c r="H3098" s="41" t="n"/>
    </row>
    <row r="3099" ht="25.8" customHeight="1">
      <c r="B3099" s="41" t="n"/>
      <c r="C3099" s="41" t="n"/>
      <c r="F3099" s="41" t="n"/>
      <c r="H3099" s="41" t="n"/>
    </row>
    <row r="3100" ht="25.8" customHeight="1">
      <c r="B3100" s="41" t="n"/>
      <c r="C3100" s="41" t="n"/>
      <c r="F3100" s="41" t="n"/>
      <c r="H3100" s="41" t="n"/>
    </row>
    <row r="3101" ht="25.8" customHeight="1">
      <c r="B3101" s="41" t="n"/>
      <c r="C3101" s="41" t="n"/>
      <c r="F3101" s="41" t="n"/>
      <c r="H3101" s="41" t="n"/>
    </row>
    <row r="3102" ht="25.8" customHeight="1">
      <c r="B3102" s="41" t="n"/>
      <c r="C3102" s="41" t="n"/>
      <c r="F3102" s="41" t="n"/>
      <c r="H3102" s="41" t="n"/>
    </row>
    <row r="3103" ht="25.8" customHeight="1">
      <c r="B3103" s="41" t="n"/>
      <c r="C3103" s="41" t="n"/>
      <c r="F3103" s="41" t="n"/>
      <c r="H3103" s="41" t="n"/>
    </row>
    <row r="3104" ht="25.8" customHeight="1">
      <c r="B3104" s="41" t="n"/>
      <c r="C3104" s="41" t="n"/>
      <c r="F3104" s="41" t="n"/>
      <c r="H3104" s="41" t="n"/>
    </row>
    <row r="3105" ht="25.8" customHeight="1">
      <c r="B3105" s="41" t="n"/>
      <c r="C3105" s="41" t="n"/>
      <c r="F3105" s="41" t="n"/>
      <c r="H3105" s="41" t="n"/>
    </row>
    <row r="3106" ht="25.8" customHeight="1">
      <c r="B3106" s="41" t="n"/>
      <c r="C3106" s="41" t="n"/>
      <c r="F3106" s="41" t="n"/>
      <c r="H3106" s="41" t="n"/>
    </row>
    <row r="3107" ht="25.8" customHeight="1">
      <c r="B3107" s="41" t="n"/>
      <c r="C3107" s="41" t="n"/>
      <c r="F3107" s="41" t="n"/>
      <c r="H3107" s="41" t="n"/>
    </row>
    <row r="3108" ht="25.8" customHeight="1">
      <c r="B3108" s="41" t="n"/>
      <c r="C3108" s="41" t="n"/>
      <c r="F3108" s="41" t="n"/>
      <c r="H3108" s="41" t="n"/>
    </row>
    <row r="3109" ht="25.8" customHeight="1">
      <c r="B3109" s="41" t="n"/>
      <c r="C3109" s="41" t="n"/>
      <c r="F3109" s="41" t="n"/>
      <c r="H3109" s="41" t="n"/>
    </row>
    <row r="3110" ht="25.8" customHeight="1">
      <c r="B3110" s="41" t="n"/>
      <c r="C3110" s="41" t="n"/>
      <c r="F3110" s="41" t="n"/>
      <c r="H3110" s="41" t="n"/>
    </row>
    <row r="3111" ht="25.8" customHeight="1">
      <c r="B3111" s="41" t="n"/>
      <c r="C3111" s="41" t="n"/>
      <c r="F3111" s="41" t="n"/>
      <c r="H3111" s="41" t="n"/>
    </row>
    <row r="3112" ht="25.8" customHeight="1">
      <c r="B3112" s="41" t="n"/>
      <c r="C3112" s="41" t="n"/>
      <c r="F3112" s="41" t="n"/>
      <c r="H3112" s="41" t="n"/>
    </row>
    <row r="3113" ht="25.8" customHeight="1">
      <c r="B3113" s="41" t="n"/>
      <c r="C3113" s="41" t="n"/>
      <c r="F3113" s="41" t="n"/>
      <c r="H3113" s="41" t="n"/>
    </row>
    <row r="3114" ht="25.8" customHeight="1">
      <c r="B3114" s="41" t="n"/>
      <c r="C3114" s="41" t="n"/>
      <c r="F3114" s="41" t="n"/>
      <c r="H3114" s="41" t="n"/>
    </row>
    <row r="3115" ht="25.8" customHeight="1">
      <c r="B3115" s="41" t="n"/>
      <c r="C3115" s="41" t="n"/>
      <c r="F3115" s="41" t="n"/>
      <c r="H3115" s="41" t="n"/>
    </row>
    <row r="3116" ht="25.8" customHeight="1">
      <c r="B3116" s="41" t="n"/>
      <c r="C3116" s="41" t="n"/>
      <c r="F3116" s="41" t="n"/>
      <c r="H3116" s="41" t="n"/>
    </row>
    <row r="3117" ht="25.8" customHeight="1">
      <c r="B3117" s="41" t="n"/>
      <c r="C3117" s="41" t="n"/>
      <c r="F3117" s="41" t="n"/>
      <c r="H3117" s="41" t="n"/>
    </row>
    <row r="3118" ht="25.8" customHeight="1">
      <c r="B3118" s="41" t="n"/>
      <c r="C3118" s="41" t="n"/>
      <c r="F3118" s="41" t="n"/>
      <c r="H3118" s="41" t="n"/>
    </row>
    <row r="3119" ht="25.8" customHeight="1">
      <c r="B3119" s="41" t="n"/>
      <c r="C3119" s="41" t="n"/>
      <c r="F3119" s="41" t="n"/>
      <c r="H3119" s="41" t="n"/>
    </row>
    <row r="3120" ht="25.8" customHeight="1">
      <c r="B3120" s="41" t="n"/>
      <c r="C3120" s="41" t="n"/>
      <c r="F3120" s="41" t="n"/>
      <c r="H3120" s="41" t="n"/>
    </row>
    <row r="3121" ht="25.8" customHeight="1">
      <c r="B3121" s="41" t="n"/>
      <c r="C3121" s="41" t="n"/>
      <c r="F3121" s="41" t="n"/>
      <c r="H3121" s="41" t="n"/>
    </row>
    <row r="3122" ht="25.8" customHeight="1">
      <c r="B3122" s="41" t="n"/>
      <c r="C3122" s="41" t="n"/>
      <c r="F3122" s="41" t="n"/>
      <c r="H3122" s="41" t="n"/>
    </row>
    <row r="3123" ht="25.8" customHeight="1">
      <c r="B3123" s="41" t="n"/>
      <c r="C3123" s="41" t="n"/>
      <c r="F3123" s="41" t="n"/>
      <c r="H3123" s="41" t="n"/>
    </row>
    <row r="3124" ht="25.8" customHeight="1">
      <c r="B3124" s="41" t="n"/>
      <c r="C3124" s="41" t="n"/>
      <c r="F3124" s="41" t="n"/>
      <c r="H3124" s="41" t="n"/>
    </row>
    <row r="3125" ht="25.8" customHeight="1">
      <c r="B3125" s="41" t="n"/>
      <c r="C3125" s="41" t="n"/>
      <c r="F3125" s="41" t="n"/>
      <c r="H3125" s="41" t="n"/>
    </row>
    <row r="3126" ht="25.8" customHeight="1">
      <c r="B3126" s="41" t="n"/>
      <c r="C3126" s="41" t="n"/>
      <c r="F3126" s="41" t="n"/>
      <c r="H3126" s="41" t="n"/>
    </row>
    <row r="3127" ht="25.8" customHeight="1">
      <c r="B3127" s="41" t="n"/>
      <c r="C3127" s="41" t="n"/>
      <c r="F3127" s="41" t="n"/>
      <c r="H3127" s="41" t="n"/>
    </row>
    <row r="3128" ht="25.8" customHeight="1">
      <c r="B3128" s="41" t="n"/>
      <c r="C3128" s="41" t="n"/>
      <c r="F3128" s="41" t="n"/>
      <c r="H3128" s="41" t="n"/>
    </row>
    <row r="3129" ht="25.8" customHeight="1">
      <c r="B3129" s="41" t="n"/>
      <c r="C3129" s="41" t="n"/>
      <c r="F3129" s="41" t="n"/>
      <c r="H3129" s="41" t="n"/>
    </row>
    <row r="3130" ht="25.8" customHeight="1">
      <c r="B3130" s="41" t="n"/>
      <c r="C3130" s="41" t="n"/>
      <c r="F3130" s="41" t="n"/>
      <c r="H3130" s="41" t="n"/>
    </row>
    <row r="3131" ht="25.8" customHeight="1">
      <c r="B3131" s="41" t="n"/>
      <c r="C3131" s="41" t="n"/>
      <c r="F3131" s="41" t="n"/>
      <c r="H3131" s="41" t="n"/>
    </row>
    <row r="3132" ht="25.8" customHeight="1">
      <c r="B3132" s="41" t="n"/>
      <c r="C3132" s="41" t="n"/>
      <c r="F3132" s="41" t="n"/>
      <c r="H3132" s="41" t="n"/>
    </row>
    <row r="3133" ht="25.8" customHeight="1">
      <c r="B3133" s="41" t="n"/>
      <c r="C3133" s="41" t="n"/>
      <c r="F3133" s="41" t="n"/>
      <c r="H3133" s="41" t="n"/>
    </row>
    <row r="3134" ht="25.8" customHeight="1">
      <c r="B3134" s="41" t="n"/>
      <c r="C3134" s="41" t="n"/>
      <c r="F3134" s="41" t="n"/>
      <c r="H3134" s="41" t="n"/>
    </row>
    <row r="3135" ht="25.8" customHeight="1">
      <c r="B3135" s="41" t="n"/>
      <c r="C3135" s="41" t="n"/>
      <c r="F3135" s="41" t="n"/>
      <c r="H3135" s="41" t="n"/>
    </row>
    <row r="3136" ht="25.8" customHeight="1">
      <c r="B3136" s="41" t="n"/>
      <c r="C3136" s="41" t="n"/>
      <c r="F3136" s="41" t="n"/>
      <c r="H3136" s="41" t="n"/>
    </row>
    <row r="3137" ht="25.8" customHeight="1">
      <c r="B3137" s="41" t="n"/>
      <c r="C3137" s="41" t="n"/>
      <c r="F3137" s="41" t="n"/>
      <c r="H3137" s="41" t="n"/>
    </row>
    <row r="3138" ht="25.8" customHeight="1">
      <c r="B3138" s="41" t="n"/>
      <c r="C3138" s="41" t="n"/>
      <c r="F3138" s="41" t="n"/>
      <c r="H3138" s="41" t="n"/>
    </row>
    <row r="3139" ht="25.8" customHeight="1">
      <c r="B3139" s="41" t="n"/>
      <c r="C3139" s="41" t="n"/>
      <c r="F3139" s="41" t="n"/>
      <c r="H3139" s="41" t="n"/>
    </row>
    <row r="3140" ht="25.8" customHeight="1">
      <c r="B3140" s="41" t="n"/>
      <c r="C3140" s="41" t="n"/>
      <c r="F3140" s="41" t="n"/>
      <c r="H3140" s="41" t="n"/>
    </row>
    <row r="3141" ht="25.8" customHeight="1">
      <c r="B3141" s="41" t="n"/>
      <c r="C3141" s="41" t="n"/>
      <c r="F3141" s="41" t="n"/>
      <c r="H3141" s="41" t="n"/>
    </row>
    <row r="3142" ht="25.8" customHeight="1">
      <c r="B3142" s="41" t="n"/>
      <c r="C3142" s="41" t="n"/>
      <c r="F3142" s="41" t="n"/>
      <c r="H3142" s="41" t="n"/>
    </row>
    <row r="3143" ht="25.8" customHeight="1">
      <c r="B3143" s="41" t="n"/>
      <c r="C3143" s="41" t="n"/>
      <c r="F3143" s="41" t="n"/>
      <c r="H3143" s="41" t="n"/>
    </row>
    <row r="3144" ht="25.8" customHeight="1">
      <c r="B3144" s="41" t="n"/>
      <c r="C3144" s="41" t="n"/>
      <c r="F3144" s="41" t="n"/>
      <c r="H3144" s="41" t="n"/>
    </row>
    <row r="3145" ht="25.8" customHeight="1">
      <c r="B3145" s="41" t="n"/>
      <c r="C3145" s="41" t="n"/>
      <c r="F3145" s="41" t="n"/>
      <c r="H3145" s="41" t="n"/>
    </row>
    <row r="3146" ht="25.8" customHeight="1">
      <c r="B3146" s="41" t="n"/>
      <c r="C3146" s="41" t="n"/>
      <c r="F3146" s="41" t="n"/>
      <c r="H3146" s="41" t="n"/>
    </row>
    <row r="3147" ht="25.8" customHeight="1">
      <c r="B3147" s="41" t="n"/>
      <c r="C3147" s="41" t="n"/>
      <c r="F3147" s="41" t="n"/>
      <c r="H3147" s="41" t="n"/>
    </row>
    <row r="3148" ht="25.8" customHeight="1">
      <c r="B3148" s="41" t="n"/>
      <c r="C3148" s="41" t="n"/>
      <c r="F3148" s="41" t="n"/>
      <c r="H3148" s="41" t="n"/>
    </row>
    <row r="3149" ht="25.8" customHeight="1">
      <c r="B3149" s="41" t="n"/>
      <c r="C3149" s="41" t="n"/>
      <c r="F3149" s="41" t="n"/>
      <c r="H3149" s="41" t="n"/>
    </row>
    <row r="3150" ht="25.8" customHeight="1">
      <c r="B3150" s="41" t="n"/>
      <c r="C3150" s="41" t="n"/>
      <c r="F3150" s="41" t="n"/>
      <c r="H3150" s="41" t="n"/>
    </row>
    <row r="3151" ht="25.8" customHeight="1">
      <c r="B3151" s="41" t="n"/>
      <c r="C3151" s="41" t="n"/>
      <c r="F3151" s="41" t="n"/>
      <c r="H3151" s="41" t="n"/>
    </row>
    <row r="3152" ht="25.8" customHeight="1">
      <c r="B3152" s="41" t="n"/>
      <c r="C3152" s="41" t="n"/>
      <c r="F3152" s="41" t="n"/>
      <c r="H3152" s="41" t="n"/>
    </row>
    <row r="3153" ht="25.8" customHeight="1">
      <c r="B3153" s="41" t="n"/>
      <c r="C3153" s="41" t="n"/>
      <c r="F3153" s="41" t="n"/>
      <c r="H3153" s="41" t="n"/>
    </row>
    <row r="3154" ht="25.8" customHeight="1">
      <c r="B3154" s="41" t="n"/>
      <c r="C3154" s="41" t="n"/>
      <c r="F3154" s="41" t="n"/>
      <c r="H3154" s="41" t="n"/>
    </row>
    <row r="3155" ht="25.8" customHeight="1">
      <c r="B3155" s="41" t="n"/>
      <c r="C3155" s="41" t="n"/>
      <c r="F3155" s="41" t="n"/>
      <c r="H3155" s="41" t="n"/>
    </row>
    <row r="3156" ht="25.8" customHeight="1">
      <c r="B3156" s="41" t="n"/>
      <c r="C3156" s="41" t="n"/>
      <c r="F3156" s="41" t="n"/>
      <c r="H3156" s="41" t="n"/>
    </row>
    <row r="3157" ht="25.8" customHeight="1">
      <c r="B3157" s="41" t="n"/>
      <c r="C3157" s="41" t="n"/>
      <c r="F3157" s="41" t="n"/>
      <c r="H3157" s="41" t="n"/>
    </row>
    <row r="3158" ht="25.8" customHeight="1">
      <c r="B3158" s="41" t="n"/>
      <c r="C3158" s="41" t="n"/>
      <c r="F3158" s="41" t="n"/>
      <c r="H3158" s="41" t="n"/>
    </row>
    <row r="3159" ht="25.8" customHeight="1">
      <c r="B3159" s="41" t="n"/>
      <c r="C3159" s="41" t="n"/>
      <c r="F3159" s="41" t="n"/>
      <c r="H3159" s="41" t="n"/>
    </row>
    <row r="3160" ht="25.8" customHeight="1">
      <c r="B3160" s="41" t="n"/>
      <c r="C3160" s="41" t="n"/>
      <c r="F3160" s="41" t="n"/>
      <c r="H3160" s="41" t="n"/>
    </row>
    <row r="3161" ht="25.8" customHeight="1">
      <c r="B3161" s="41" t="n"/>
      <c r="C3161" s="41" t="n"/>
      <c r="F3161" s="41" t="n"/>
      <c r="H3161" s="41" t="n"/>
    </row>
    <row r="3162" ht="25.8" customHeight="1">
      <c r="B3162" s="41" t="n"/>
      <c r="C3162" s="41" t="n"/>
      <c r="F3162" s="41" t="n"/>
      <c r="H3162" s="41" t="n"/>
    </row>
    <row r="3163" ht="25.8" customHeight="1">
      <c r="B3163" s="41" t="n"/>
      <c r="C3163" s="41" t="n"/>
      <c r="F3163" s="41" t="n"/>
      <c r="H3163" s="41" t="n"/>
    </row>
    <row r="3164" ht="25.8" customHeight="1">
      <c r="B3164" s="41" t="n"/>
      <c r="C3164" s="41" t="n"/>
      <c r="F3164" s="41" t="n"/>
      <c r="H3164" s="41" t="n"/>
    </row>
    <row r="3165" ht="25.8" customHeight="1">
      <c r="B3165" s="41" t="n"/>
      <c r="C3165" s="41" t="n"/>
      <c r="F3165" s="41" t="n"/>
      <c r="H3165" s="41" t="n"/>
    </row>
    <row r="3166" ht="25.8" customHeight="1">
      <c r="B3166" s="41" t="n"/>
      <c r="C3166" s="41" t="n"/>
      <c r="F3166" s="41" t="n"/>
      <c r="H3166" s="41" t="n"/>
    </row>
    <row r="3167" ht="25.8" customHeight="1">
      <c r="B3167" s="41" t="n"/>
      <c r="C3167" s="41" t="n"/>
      <c r="F3167" s="41" t="n"/>
      <c r="H3167" s="41" t="n"/>
    </row>
    <row r="3168" ht="25.8" customHeight="1">
      <c r="B3168" s="41" t="n"/>
      <c r="C3168" s="41" t="n"/>
      <c r="F3168" s="41" t="n"/>
      <c r="H3168" s="41" t="n"/>
    </row>
    <row r="3169" ht="25.8" customHeight="1">
      <c r="B3169" s="41" t="n"/>
      <c r="C3169" s="41" t="n"/>
      <c r="F3169" s="41" t="n"/>
      <c r="H3169" s="41" t="n"/>
    </row>
    <row r="3170" ht="25.8" customHeight="1">
      <c r="B3170" s="41" t="n"/>
      <c r="C3170" s="41" t="n"/>
      <c r="F3170" s="41" t="n"/>
      <c r="H3170" s="41" t="n"/>
    </row>
    <row r="3171" ht="25.8" customHeight="1">
      <c r="B3171" s="41" t="n"/>
      <c r="C3171" s="41" t="n"/>
      <c r="F3171" s="41" t="n"/>
      <c r="H3171" s="41" t="n"/>
    </row>
    <row r="3172" ht="25.8" customHeight="1">
      <c r="B3172" s="41" t="n"/>
      <c r="C3172" s="41" t="n"/>
      <c r="F3172" s="41" t="n"/>
      <c r="H3172" s="41" t="n"/>
    </row>
    <row r="3173" ht="25.8" customHeight="1">
      <c r="B3173" s="41" t="n"/>
      <c r="C3173" s="41" t="n"/>
      <c r="F3173" s="41" t="n"/>
      <c r="H3173" s="41" t="n"/>
    </row>
    <row r="3174" ht="25.8" customHeight="1">
      <c r="B3174" s="41" t="n"/>
      <c r="C3174" s="41" t="n"/>
      <c r="F3174" s="41" t="n"/>
      <c r="H3174" s="41" t="n"/>
    </row>
    <row r="3175" ht="25.8" customHeight="1">
      <c r="B3175" s="41" t="n"/>
      <c r="C3175" s="41" t="n"/>
      <c r="F3175" s="41" t="n"/>
      <c r="H3175" s="41" t="n"/>
    </row>
    <row r="3176" ht="25.8" customHeight="1">
      <c r="B3176" s="41" t="n"/>
      <c r="C3176" s="41" t="n"/>
      <c r="F3176" s="41" t="n"/>
      <c r="H3176" s="41" t="n"/>
    </row>
    <row r="3177" ht="25.8" customHeight="1">
      <c r="B3177" s="41" t="n"/>
      <c r="C3177" s="41" t="n"/>
      <c r="F3177" s="41" t="n"/>
      <c r="H3177" s="41" t="n"/>
    </row>
    <row r="3178" ht="25.8" customHeight="1">
      <c r="B3178" s="41" t="n"/>
      <c r="C3178" s="41" t="n"/>
      <c r="F3178" s="41" t="n"/>
      <c r="H3178" s="41" t="n"/>
    </row>
    <row r="3179" ht="25.8" customHeight="1">
      <c r="B3179" s="41" t="n"/>
      <c r="C3179" s="41" t="n"/>
      <c r="F3179" s="41" t="n"/>
      <c r="H3179" s="41" t="n"/>
    </row>
    <row r="3180" ht="25.8" customHeight="1">
      <c r="B3180" s="41" t="n"/>
      <c r="C3180" s="41" t="n"/>
      <c r="F3180" s="41" t="n"/>
      <c r="H3180" s="41" t="n"/>
    </row>
    <row r="3181" ht="25.8" customHeight="1">
      <c r="B3181" s="41" t="n"/>
      <c r="C3181" s="41" t="n"/>
      <c r="F3181" s="41" t="n"/>
      <c r="H3181" s="41" t="n"/>
    </row>
    <row r="3182" ht="25.8" customHeight="1">
      <c r="B3182" s="41" t="n"/>
      <c r="C3182" s="41" t="n"/>
      <c r="F3182" s="41" t="n"/>
      <c r="H3182" s="41" t="n"/>
    </row>
    <row r="3183" ht="25.8" customHeight="1">
      <c r="B3183" s="41" t="n"/>
      <c r="C3183" s="41" t="n"/>
      <c r="F3183" s="41" t="n"/>
      <c r="H3183" s="41" t="n"/>
    </row>
    <row r="3184" ht="25.8" customHeight="1">
      <c r="B3184" s="41" t="n"/>
      <c r="C3184" s="41" t="n"/>
      <c r="F3184" s="41" t="n"/>
      <c r="H3184" s="41" t="n"/>
    </row>
    <row r="3185" ht="25.8" customHeight="1">
      <c r="B3185" s="41" t="n"/>
      <c r="C3185" s="41" t="n"/>
      <c r="F3185" s="41" t="n"/>
      <c r="H3185" s="41" t="n"/>
    </row>
    <row r="3186" ht="25.8" customHeight="1">
      <c r="B3186" s="41" t="n"/>
      <c r="C3186" s="41" t="n"/>
      <c r="F3186" s="41" t="n"/>
      <c r="H3186" s="41" t="n"/>
    </row>
    <row r="3187" ht="25.8" customHeight="1">
      <c r="B3187" s="41" t="n"/>
      <c r="C3187" s="41" t="n"/>
      <c r="F3187" s="41" t="n"/>
      <c r="H3187" s="41" t="n"/>
    </row>
    <row r="3188" ht="25.8" customHeight="1">
      <c r="B3188" s="41" t="n"/>
      <c r="C3188" s="41" t="n"/>
      <c r="F3188" s="41" t="n"/>
      <c r="H3188" s="41" t="n"/>
    </row>
    <row r="3189" ht="25.8" customHeight="1">
      <c r="B3189" s="41" t="n"/>
      <c r="C3189" s="41" t="n"/>
      <c r="F3189" s="41" t="n"/>
      <c r="H3189" s="41" t="n"/>
    </row>
    <row r="3190" ht="25.8" customHeight="1">
      <c r="B3190" s="41" t="n"/>
      <c r="C3190" s="41" t="n"/>
      <c r="F3190" s="41" t="n"/>
      <c r="H3190" s="41" t="n"/>
    </row>
    <row r="3191" ht="25.8" customHeight="1">
      <c r="B3191" s="41" t="n"/>
      <c r="C3191" s="41" t="n"/>
      <c r="F3191" s="41" t="n"/>
      <c r="H3191" s="41" t="n"/>
    </row>
    <row r="3192" ht="25.8" customHeight="1">
      <c r="B3192" s="41" t="n"/>
      <c r="C3192" s="41" t="n"/>
      <c r="F3192" s="41" t="n"/>
      <c r="H3192" s="41" t="n"/>
    </row>
    <row r="3193" ht="25.8" customHeight="1">
      <c r="B3193" s="41" t="n"/>
      <c r="C3193" s="41" t="n"/>
      <c r="F3193" s="41" t="n"/>
      <c r="H3193" s="41" t="n"/>
    </row>
    <row r="3194" ht="25.8" customHeight="1">
      <c r="B3194" s="41" t="n"/>
      <c r="C3194" s="41" t="n"/>
      <c r="F3194" s="41" t="n"/>
      <c r="H3194" s="41" t="n"/>
    </row>
    <row r="3195" ht="25.8" customHeight="1">
      <c r="B3195" s="41" t="n"/>
      <c r="C3195" s="41" t="n"/>
      <c r="F3195" s="41" t="n"/>
      <c r="H3195" s="41" t="n"/>
    </row>
    <row r="3196" ht="25.8" customHeight="1">
      <c r="B3196" s="41" t="n"/>
      <c r="C3196" s="41" t="n"/>
      <c r="F3196" s="41" t="n"/>
      <c r="H3196" s="41" t="n"/>
    </row>
    <row r="3197" ht="25.8" customHeight="1">
      <c r="B3197" s="41" t="n"/>
      <c r="C3197" s="41" t="n"/>
      <c r="F3197" s="41" t="n"/>
      <c r="H3197" s="41" t="n"/>
    </row>
    <row r="3198" ht="25.8" customHeight="1">
      <c r="B3198" s="41" t="n"/>
      <c r="C3198" s="41" t="n"/>
      <c r="F3198" s="41" t="n"/>
      <c r="H3198" s="41" t="n"/>
    </row>
    <row r="3199" ht="25.8" customHeight="1">
      <c r="B3199" s="41" t="n"/>
      <c r="C3199" s="41" t="n"/>
      <c r="F3199" s="41" t="n"/>
      <c r="H3199" s="41" t="n"/>
    </row>
    <row r="3200" ht="25.8" customHeight="1">
      <c r="B3200" s="41" t="n"/>
      <c r="C3200" s="41" t="n"/>
      <c r="F3200" s="41" t="n"/>
      <c r="H3200" s="41" t="n"/>
    </row>
    <row r="3201" ht="25.8" customHeight="1">
      <c r="B3201" s="41" t="n"/>
      <c r="C3201" s="41" t="n"/>
      <c r="F3201" s="41" t="n"/>
      <c r="H3201" s="41" t="n"/>
    </row>
    <row r="3202" ht="25.8" customHeight="1">
      <c r="B3202" s="41" t="n"/>
      <c r="C3202" s="41" t="n"/>
      <c r="F3202" s="41" t="n"/>
      <c r="H3202" s="41" t="n"/>
    </row>
    <row r="3203" ht="25.8" customHeight="1">
      <c r="B3203" s="41" t="n"/>
      <c r="C3203" s="41" t="n"/>
      <c r="F3203" s="41" t="n"/>
      <c r="H3203" s="41" t="n"/>
    </row>
    <row r="3204" ht="25.8" customHeight="1">
      <c r="B3204" s="41" t="n"/>
      <c r="C3204" s="41" t="n"/>
      <c r="F3204" s="41" t="n"/>
      <c r="H3204" s="41" t="n"/>
    </row>
    <row r="3205" ht="25.8" customHeight="1">
      <c r="B3205" s="41" t="n"/>
      <c r="C3205" s="41" t="n"/>
      <c r="F3205" s="41" t="n"/>
      <c r="H3205" s="41" t="n"/>
    </row>
    <row r="3206" ht="25.8" customHeight="1">
      <c r="B3206" s="41" t="n"/>
      <c r="C3206" s="41" t="n"/>
      <c r="F3206" s="41" t="n"/>
      <c r="H3206" s="41" t="n"/>
    </row>
    <row r="3207" ht="25.8" customHeight="1">
      <c r="B3207" s="41" t="n"/>
      <c r="C3207" s="41" t="n"/>
      <c r="F3207" s="41" t="n"/>
      <c r="H3207" s="41" t="n"/>
    </row>
    <row r="3208" ht="25.8" customHeight="1">
      <c r="B3208" s="41" t="n"/>
      <c r="C3208" s="41" t="n"/>
      <c r="F3208" s="41" t="n"/>
      <c r="H3208" s="41" t="n"/>
    </row>
    <row r="3209" ht="25.8" customHeight="1">
      <c r="B3209" s="41" t="n"/>
      <c r="C3209" s="41" t="n"/>
      <c r="F3209" s="41" t="n"/>
      <c r="H3209" s="41" t="n"/>
    </row>
    <row r="3210" ht="25.8" customHeight="1">
      <c r="B3210" s="41" t="n"/>
      <c r="C3210" s="41" t="n"/>
      <c r="F3210" s="41" t="n"/>
      <c r="H3210" s="41" t="n"/>
    </row>
    <row r="3211" ht="25.8" customHeight="1">
      <c r="B3211" s="41" t="n"/>
      <c r="C3211" s="41" t="n"/>
      <c r="F3211" s="41" t="n"/>
      <c r="H3211" s="41" t="n"/>
    </row>
    <row r="3212" ht="25.8" customHeight="1">
      <c r="B3212" s="41" t="n"/>
      <c r="C3212" s="41" t="n"/>
      <c r="F3212" s="41" t="n"/>
      <c r="H3212" s="41" t="n"/>
    </row>
    <row r="3213" ht="25.8" customHeight="1">
      <c r="B3213" s="41" t="n"/>
      <c r="C3213" s="41" t="n"/>
      <c r="F3213" s="41" t="n"/>
      <c r="H3213" s="41" t="n"/>
    </row>
    <row r="3214" ht="25.8" customHeight="1">
      <c r="B3214" s="41" t="n"/>
      <c r="C3214" s="41" t="n"/>
      <c r="F3214" s="41" t="n"/>
      <c r="H3214" s="41" t="n"/>
    </row>
    <row r="3215" ht="25.8" customHeight="1">
      <c r="B3215" s="41" t="n"/>
      <c r="C3215" s="41" t="n"/>
      <c r="F3215" s="41" t="n"/>
      <c r="H3215" s="41" t="n"/>
    </row>
    <row r="3216" ht="25.8" customHeight="1">
      <c r="B3216" s="41" t="n"/>
      <c r="C3216" s="41" t="n"/>
      <c r="F3216" s="41" t="n"/>
      <c r="H3216" s="41" t="n"/>
    </row>
    <row r="3217" ht="25.8" customHeight="1">
      <c r="B3217" s="41" t="n"/>
      <c r="C3217" s="41" t="n"/>
      <c r="F3217" s="41" t="n"/>
      <c r="H3217" s="41" t="n"/>
    </row>
    <row r="3218" ht="25.8" customHeight="1">
      <c r="B3218" s="41" t="n"/>
      <c r="C3218" s="41" t="n"/>
      <c r="F3218" s="41" t="n"/>
      <c r="H3218" s="41" t="n"/>
    </row>
    <row r="3219" ht="25.8" customHeight="1">
      <c r="B3219" s="41" t="n"/>
      <c r="C3219" s="41" t="n"/>
      <c r="F3219" s="41" t="n"/>
      <c r="H3219" s="41" t="n"/>
    </row>
    <row r="3220" ht="25.8" customHeight="1">
      <c r="B3220" s="41" t="n"/>
      <c r="C3220" s="41" t="n"/>
      <c r="F3220" s="41" t="n"/>
      <c r="H3220" s="41" t="n"/>
    </row>
    <row r="3221" ht="25.8" customHeight="1">
      <c r="B3221" s="41" t="n"/>
      <c r="C3221" s="41" t="n"/>
      <c r="F3221" s="41" t="n"/>
      <c r="H3221" s="41" t="n"/>
    </row>
    <row r="3222" ht="25.8" customHeight="1">
      <c r="B3222" s="41" t="n"/>
      <c r="C3222" s="41" t="n"/>
      <c r="F3222" s="41" t="n"/>
      <c r="H3222" s="41" t="n"/>
    </row>
    <row r="3223" ht="25.8" customHeight="1">
      <c r="B3223" s="41" t="n"/>
      <c r="C3223" s="41" t="n"/>
      <c r="F3223" s="41" t="n"/>
      <c r="H3223" s="41" t="n"/>
    </row>
    <row r="3224" ht="25.8" customHeight="1">
      <c r="B3224" s="41" t="n"/>
      <c r="C3224" s="41" t="n"/>
      <c r="F3224" s="41" t="n"/>
      <c r="H3224" s="41" t="n"/>
    </row>
    <row r="3225" ht="25.8" customHeight="1">
      <c r="B3225" s="41" t="n"/>
      <c r="C3225" s="41" t="n"/>
      <c r="F3225" s="41" t="n"/>
      <c r="H3225" s="41" t="n"/>
    </row>
    <row r="3226" ht="25.8" customHeight="1">
      <c r="B3226" s="41" t="n"/>
      <c r="C3226" s="41" t="n"/>
      <c r="F3226" s="41" t="n"/>
      <c r="H3226" s="41" t="n"/>
    </row>
    <row r="3227" ht="25.8" customHeight="1">
      <c r="B3227" s="41" t="n"/>
      <c r="C3227" s="41" t="n"/>
      <c r="F3227" s="41" t="n"/>
      <c r="H3227" s="41" t="n"/>
    </row>
    <row r="3228" ht="25.8" customHeight="1">
      <c r="B3228" s="41" t="n"/>
      <c r="C3228" s="41" t="n"/>
      <c r="F3228" s="41" t="n"/>
      <c r="H3228" s="41" t="n"/>
    </row>
    <row r="3229" ht="25.8" customHeight="1">
      <c r="B3229" s="41" t="n"/>
      <c r="C3229" s="41" t="n"/>
      <c r="F3229" s="41" t="n"/>
      <c r="H3229" s="41" t="n"/>
    </row>
    <row r="3230" ht="25.8" customHeight="1">
      <c r="B3230" s="41" t="n"/>
      <c r="C3230" s="41" t="n"/>
      <c r="F3230" s="41" t="n"/>
      <c r="H3230" s="41" t="n"/>
    </row>
    <row r="3231" ht="25.8" customHeight="1">
      <c r="B3231" s="41" t="n"/>
      <c r="C3231" s="41" t="n"/>
      <c r="F3231" s="41" t="n"/>
      <c r="H3231" s="41" t="n"/>
    </row>
    <row r="3232" ht="25.8" customHeight="1">
      <c r="B3232" s="41" t="n"/>
      <c r="C3232" s="41" t="n"/>
      <c r="F3232" s="41" t="n"/>
      <c r="H3232" s="41" t="n"/>
    </row>
    <row r="3233" ht="25.8" customHeight="1">
      <c r="B3233" s="41" t="n"/>
      <c r="C3233" s="41" t="n"/>
      <c r="F3233" s="41" t="n"/>
      <c r="H3233" s="41" t="n"/>
    </row>
    <row r="3234" ht="25.8" customHeight="1">
      <c r="B3234" s="41" t="n"/>
      <c r="C3234" s="41" t="n"/>
      <c r="F3234" s="41" t="n"/>
      <c r="H3234" s="41" t="n"/>
    </row>
    <row r="3235" ht="25.8" customHeight="1">
      <c r="B3235" s="41" t="n"/>
      <c r="C3235" s="41" t="n"/>
      <c r="F3235" s="41" t="n"/>
      <c r="H3235" s="41" t="n"/>
    </row>
    <row r="3236" ht="25.8" customHeight="1">
      <c r="B3236" s="41" t="n"/>
      <c r="C3236" s="41" t="n"/>
      <c r="F3236" s="41" t="n"/>
      <c r="H3236" s="41" t="n"/>
    </row>
    <row r="3237" ht="25.8" customHeight="1">
      <c r="B3237" s="41" t="n"/>
      <c r="C3237" s="41" t="n"/>
      <c r="F3237" s="41" t="n"/>
      <c r="H3237" s="41" t="n"/>
    </row>
    <row r="3238" ht="25.8" customHeight="1">
      <c r="B3238" s="41" t="n"/>
      <c r="C3238" s="41" t="n"/>
      <c r="F3238" s="41" t="n"/>
      <c r="H3238" s="41" t="n"/>
    </row>
    <row r="3239" ht="25.8" customHeight="1">
      <c r="B3239" s="41" t="n"/>
      <c r="C3239" s="41" t="n"/>
      <c r="F3239" s="41" t="n"/>
      <c r="H3239" s="41" t="n"/>
    </row>
    <row r="3240" ht="25.8" customHeight="1">
      <c r="B3240" s="41" t="n"/>
      <c r="C3240" s="41" t="n"/>
      <c r="F3240" s="41" t="n"/>
      <c r="H3240" s="41" t="n"/>
    </row>
    <row r="3241" ht="25.8" customHeight="1">
      <c r="B3241" s="41" t="n"/>
      <c r="C3241" s="41" t="n"/>
      <c r="F3241" s="41" t="n"/>
      <c r="H3241" s="41" t="n"/>
    </row>
    <row r="3242" ht="25.8" customHeight="1">
      <c r="B3242" s="41" t="n"/>
      <c r="C3242" s="41" t="n"/>
      <c r="F3242" s="41" t="n"/>
      <c r="H3242" s="41" t="n"/>
    </row>
    <row r="3243" ht="25.8" customHeight="1">
      <c r="B3243" s="41" t="n"/>
      <c r="C3243" s="41" t="n"/>
      <c r="F3243" s="41" t="n"/>
      <c r="H3243" s="41" t="n"/>
    </row>
    <row r="3244" ht="25.8" customHeight="1">
      <c r="B3244" s="41" t="n"/>
      <c r="C3244" s="41" t="n"/>
      <c r="F3244" s="41" t="n"/>
      <c r="H3244" s="41" t="n"/>
    </row>
    <row r="3245" ht="25.8" customHeight="1">
      <c r="B3245" s="41" t="n"/>
      <c r="C3245" s="41" t="n"/>
      <c r="F3245" s="41" t="n"/>
      <c r="H3245" s="41" t="n"/>
    </row>
    <row r="3246" ht="25.8" customHeight="1">
      <c r="B3246" s="41" t="n"/>
      <c r="C3246" s="41" t="n"/>
      <c r="F3246" s="41" t="n"/>
      <c r="H3246" s="41" t="n"/>
    </row>
    <row r="3247" ht="25.8" customHeight="1">
      <c r="B3247" s="41" t="n"/>
      <c r="C3247" s="41" t="n"/>
      <c r="F3247" s="41" t="n"/>
      <c r="H3247" s="41" t="n"/>
    </row>
    <row r="3248" ht="25.8" customHeight="1">
      <c r="B3248" s="41" t="n"/>
      <c r="C3248" s="41" t="n"/>
      <c r="F3248" s="41" t="n"/>
      <c r="H3248" s="41" t="n"/>
    </row>
    <row r="3249" ht="25.8" customHeight="1">
      <c r="B3249" s="41" t="n"/>
      <c r="C3249" s="41" t="n"/>
      <c r="F3249" s="41" t="n"/>
      <c r="H3249" s="41" t="n"/>
    </row>
    <row r="3250" ht="25.8" customHeight="1">
      <c r="B3250" s="41" t="n"/>
      <c r="C3250" s="41" t="n"/>
      <c r="F3250" s="41" t="n"/>
      <c r="H3250" s="41" t="n"/>
    </row>
    <row r="3251" ht="25.8" customHeight="1">
      <c r="B3251" s="41" t="n"/>
      <c r="C3251" s="41" t="n"/>
      <c r="F3251" s="41" t="n"/>
      <c r="H3251" s="41" t="n"/>
    </row>
    <row r="3252" ht="25.8" customHeight="1">
      <c r="B3252" s="41" t="n"/>
      <c r="C3252" s="41" t="n"/>
      <c r="F3252" s="41" t="n"/>
      <c r="H3252" s="41" t="n"/>
    </row>
    <row r="3253" ht="25.8" customHeight="1">
      <c r="B3253" s="41" t="n"/>
      <c r="C3253" s="41" t="n"/>
      <c r="F3253" s="41" t="n"/>
      <c r="H3253" s="41" t="n"/>
    </row>
    <row r="3254" ht="25.8" customHeight="1">
      <c r="B3254" s="41" t="n"/>
      <c r="C3254" s="41" t="n"/>
      <c r="F3254" s="41" t="n"/>
      <c r="H3254" s="41" t="n"/>
    </row>
    <row r="3255" ht="25.8" customHeight="1">
      <c r="B3255" s="41" t="n"/>
      <c r="C3255" s="41" t="n"/>
      <c r="F3255" s="41" t="n"/>
      <c r="H3255" s="41" t="n"/>
    </row>
    <row r="3256" ht="25.8" customHeight="1">
      <c r="B3256" s="41" t="n"/>
      <c r="C3256" s="41" t="n"/>
      <c r="F3256" s="41" t="n"/>
      <c r="H3256" s="41" t="n"/>
    </row>
    <row r="3257" ht="25.8" customHeight="1">
      <c r="B3257" s="41" t="n"/>
      <c r="C3257" s="41" t="n"/>
      <c r="F3257" s="41" t="n"/>
      <c r="H3257" s="41" t="n"/>
    </row>
    <row r="3258" ht="25.8" customHeight="1">
      <c r="B3258" s="41" t="n"/>
      <c r="C3258" s="41" t="n"/>
      <c r="F3258" s="41" t="n"/>
      <c r="H3258" s="41" t="n"/>
    </row>
    <row r="3259" ht="25.8" customHeight="1">
      <c r="B3259" s="41" t="n"/>
      <c r="C3259" s="41" t="n"/>
      <c r="F3259" s="41" t="n"/>
      <c r="H3259" s="41" t="n"/>
    </row>
    <row r="3260" ht="25.8" customHeight="1">
      <c r="B3260" s="41" t="n"/>
      <c r="C3260" s="41" t="n"/>
      <c r="F3260" s="41" t="n"/>
      <c r="H3260" s="41" t="n"/>
    </row>
    <row r="3261" ht="25.8" customHeight="1">
      <c r="B3261" s="41" t="n"/>
      <c r="C3261" s="41" t="n"/>
      <c r="F3261" s="41" t="n"/>
      <c r="H3261" s="41" t="n"/>
    </row>
    <row r="3262" ht="25.8" customHeight="1">
      <c r="B3262" s="41" t="n"/>
      <c r="C3262" s="41" t="n"/>
      <c r="F3262" s="41" t="n"/>
      <c r="H3262" s="41" t="n"/>
    </row>
    <row r="3263" ht="25.8" customHeight="1">
      <c r="B3263" s="41" t="n"/>
      <c r="C3263" s="41" t="n"/>
      <c r="F3263" s="41" t="n"/>
      <c r="H3263" s="41" t="n"/>
    </row>
    <row r="3264" ht="25.8" customHeight="1">
      <c r="B3264" s="41" t="n"/>
      <c r="C3264" s="41" t="n"/>
      <c r="F3264" s="41" t="n"/>
      <c r="H3264" s="41" t="n"/>
    </row>
    <row r="3265" ht="25.8" customHeight="1">
      <c r="B3265" s="41" t="n"/>
      <c r="C3265" s="41" t="n"/>
      <c r="F3265" s="41" t="n"/>
      <c r="H3265" s="41" t="n"/>
    </row>
    <row r="3266" ht="25.8" customHeight="1">
      <c r="B3266" s="41" t="n"/>
      <c r="C3266" s="41" t="n"/>
      <c r="F3266" s="41" t="n"/>
      <c r="H3266" s="41" t="n"/>
    </row>
    <row r="3267" ht="25.8" customHeight="1">
      <c r="B3267" s="41" t="n"/>
      <c r="C3267" s="41" t="n"/>
      <c r="F3267" s="41" t="n"/>
      <c r="H3267" s="41" t="n"/>
    </row>
    <row r="3268" ht="25.8" customHeight="1">
      <c r="B3268" s="41" t="n"/>
      <c r="C3268" s="41" t="n"/>
      <c r="F3268" s="41" t="n"/>
      <c r="H3268" s="41" t="n"/>
    </row>
    <row r="3269" ht="25.8" customHeight="1">
      <c r="B3269" s="41" t="n"/>
      <c r="C3269" s="41" t="n"/>
      <c r="F3269" s="41" t="n"/>
      <c r="H3269" s="41" t="n"/>
    </row>
    <row r="3270" ht="25.8" customHeight="1">
      <c r="B3270" s="41" t="n"/>
      <c r="C3270" s="41" t="n"/>
      <c r="F3270" s="41" t="n"/>
      <c r="H3270" s="41" t="n"/>
    </row>
    <row r="3271" ht="25.8" customHeight="1">
      <c r="B3271" s="41" t="n"/>
      <c r="C3271" s="41" t="n"/>
      <c r="F3271" s="41" t="n"/>
      <c r="H3271" s="41" t="n"/>
    </row>
    <row r="3272" ht="25.8" customHeight="1">
      <c r="B3272" s="41" t="n"/>
      <c r="C3272" s="41" t="n"/>
      <c r="F3272" s="41" t="n"/>
      <c r="H3272" s="41" t="n"/>
    </row>
    <row r="3273" ht="25.8" customHeight="1">
      <c r="B3273" s="41" t="n"/>
      <c r="C3273" s="41" t="n"/>
      <c r="F3273" s="41" t="n"/>
      <c r="H3273" s="41" t="n"/>
    </row>
    <row r="3274" ht="25.8" customHeight="1">
      <c r="B3274" s="41" t="n"/>
      <c r="C3274" s="41" t="n"/>
      <c r="F3274" s="41" t="n"/>
      <c r="H3274" s="41" t="n"/>
    </row>
    <row r="3275" ht="25.8" customHeight="1">
      <c r="B3275" s="41" t="n"/>
      <c r="C3275" s="41" t="n"/>
      <c r="F3275" s="41" t="n"/>
      <c r="H3275" s="41" t="n"/>
    </row>
    <row r="3276" ht="25.8" customHeight="1">
      <c r="B3276" s="41" t="n"/>
      <c r="C3276" s="41" t="n"/>
      <c r="F3276" s="41" t="n"/>
      <c r="H3276" s="41" t="n"/>
    </row>
    <row r="3277" ht="25.8" customHeight="1">
      <c r="B3277" s="41" t="n"/>
      <c r="C3277" s="41" t="n"/>
      <c r="F3277" s="41" t="n"/>
      <c r="H3277" s="41" t="n"/>
    </row>
    <row r="3278" ht="25.8" customHeight="1">
      <c r="B3278" s="41" t="n"/>
      <c r="C3278" s="41" t="n"/>
      <c r="F3278" s="41" t="n"/>
      <c r="H3278" s="41" t="n"/>
    </row>
    <row r="3279" ht="25.8" customHeight="1">
      <c r="B3279" s="41" t="n"/>
      <c r="C3279" s="41" t="n"/>
      <c r="F3279" s="41" t="n"/>
      <c r="H3279" s="41" t="n"/>
    </row>
    <row r="3280" ht="25.8" customHeight="1">
      <c r="B3280" s="41" t="n"/>
      <c r="C3280" s="41" t="n"/>
      <c r="F3280" s="41" t="n"/>
      <c r="H3280" s="41" t="n"/>
    </row>
    <row r="3281" ht="25.8" customHeight="1">
      <c r="B3281" s="41" t="n"/>
      <c r="C3281" s="41" t="n"/>
      <c r="F3281" s="41" t="n"/>
      <c r="H3281" s="41" t="n"/>
    </row>
    <row r="3282" ht="25.8" customHeight="1">
      <c r="B3282" s="41" t="n"/>
      <c r="C3282" s="41" t="n"/>
      <c r="F3282" s="41" t="n"/>
      <c r="H3282" s="41" t="n"/>
    </row>
    <row r="3283" ht="25.8" customHeight="1">
      <c r="B3283" s="41" t="n"/>
      <c r="C3283" s="41" t="n"/>
      <c r="F3283" s="41" t="n"/>
      <c r="H3283" s="41" t="n"/>
    </row>
    <row r="3284" ht="25.8" customHeight="1">
      <c r="B3284" s="41" t="n"/>
      <c r="C3284" s="41" t="n"/>
      <c r="F3284" s="41" t="n"/>
      <c r="H3284" s="41" t="n"/>
    </row>
    <row r="3285" ht="25.8" customHeight="1">
      <c r="B3285" s="41" t="n"/>
      <c r="C3285" s="41" t="n"/>
      <c r="F3285" s="41" t="n"/>
      <c r="H3285" s="41" t="n"/>
    </row>
    <row r="3286" ht="25.8" customHeight="1">
      <c r="B3286" s="41" t="n"/>
      <c r="C3286" s="41" t="n"/>
      <c r="F3286" s="41" t="n"/>
      <c r="H3286" s="41" t="n"/>
    </row>
    <row r="3287" ht="25.8" customHeight="1">
      <c r="B3287" s="41" t="n"/>
      <c r="C3287" s="41" t="n"/>
      <c r="F3287" s="41" t="n"/>
      <c r="H3287" s="41" t="n"/>
    </row>
    <row r="3288" ht="25.8" customHeight="1">
      <c r="B3288" s="41" t="n"/>
      <c r="C3288" s="41" t="n"/>
      <c r="F3288" s="41" t="n"/>
      <c r="H3288" s="41" t="n"/>
    </row>
    <row r="3289" ht="25.8" customHeight="1">
      <c r="B3289" s="41" t="n"/>
      <c r="C3289" s="41" t="n"/>
      <c r="F3289" s="41" t="n"/>
      <c r="H3289" s="41" t="n"/>
    </row>
    <row r="3290" ht="25.8" customHeight="1">
      <c r="B3290" s="41" t="n"/>
      <c r="C3290" s="41" t="n"/>
      <c r="F3290" s="41" t="n"/>
      <c r="H3290" s="41" t="n"/>
    </row>
    <row r="3291" ht="25.8" customHeight="1">
      <c r="B3291" s="41" t="n"/>
      <c r="C3291" s="41" t="n"/>
      <c r="F3291" s="41" t="n"/>
      <c r="H3291" s="41" t="n"/>
    </row>
    <row r="3292" ht="25.8" customHeight="1">
      <c r="B3292" s="41" t="n"/>
      <c r="C3292" s="41" t="n"/>
      <c r="F3292" s="41" t="n"/>
      <c r="H3292" s="41" t="n"/>
    </row>
    <row r="3293" ht="25.8" customHeight="1">
      <c r="B3293" s="41" t="n"/>
      <c r="C3293" s="41" t="n"/>
      <c r="F3293" s="41" t="n"/>
      <c r="H3293" s="41" t="n"/>
    </row>
    <row r="3294" ht="25.8" customHeight="1">
      <c r="B3294" s="41" t="n"/>
      <c r="C3294" s="41" t="n"/>
      <c r="F3294" s="41" t="n"/>
      <c r="H3294" s="41" t="n"/>
    </row>
    <row r="3295" ht="25.8" customHeight="1">
      <c r="B3295" s="41" t="n"/>
      <c r="C3295" s="41" t="n"/>
      <c r="F3295" s="41" t="n"/>
      <c r="H3295" s="41" t="n"/>
    </row>
    <row r="3296" ht="25.8" customHeight="1">
      <c r="B3296" s="41" t="n"/>
      <c r="C3296" s="41" t="n"/>
      <c r="F3296" s="41" t="n"/>
      <c r="H3296" s="41" t="n"/>
    </row>
    <row r="3297" ht="25.8" customHeight="1">
      <c r="B3297" s="41" t="n"/>
      <c r="C3297" s="41" t="n"/>
      <c r="F3297" s="41" t="n"/>
      <c r="H3297" s="41" t="n"/>
    </row>
    <row r="3298" ht="25.8" customHeight="1">
      <c r="B3298" s="41" t="n"/>
      <c r="C3298" s="41" t="n"/>
      <c r="F3298" s="41" t="n"/>
      <c r="H3298" s="41" t="n"/>
    </row>
    <row r="3299" ht="25.8" customHeight="1">
      <c r="B3299" s="41" t="n"/>
      <c r="C3299" s="41" t="n"/>
      <c r="F3299" s="41" t="n"/>
      <c r="H3299" s="41" t="n"/>
    </row>
    <row r="3300" ht="25.8" customHeight="1">
      <c r="B3300" s="41" t="n"/>
      <c r="C3300" s="41" t="n"/>
      <c r="F3300" s="41" t="n"/>
      <c r="H3300" s="41" t="n"/>
    </row>
    <row r="3301" ht="25.8" customHeight="1">
      <c r="B3301" s="41" t="n"/>
      <c r="C3301" s="41" t="n"/>
      <c r="F3301" s="41" t="n"/>
      <c r="H3301" s="41" t="n"/>
    </row>
    <row r="3302" ht="25.8" customHeight="1">
      <c r="B3302" s="41" t="n"/>
      <c r="C3302" s="41" t="n"/>
      <c r="F3302" s="41" t="n"/>
      <c r="H3302" s="41" t="n"/>
    </row>
    <row r="3303" ht="25.8" customHeight="1">
      <c r="B3303" s="41" t="n"/>
      <c r="C3303" s="41" t="n"/>
      <c r="F3303" s="41" t="n"/>
      <c r="H3303" s="41" t="n"/>
    </row>
    <row r="3304" ht="25.8" customHeight="1">
      <c r="B3304" s="41" t="n"/>
      <c r="C3304" s="41" t="n"/>
      <c r="F3304" s="41" t="n"/>
      <c r="H3304" s="41" t="n"/>
    </row>
    <row r="3305" ht="25.8" customHeight="1">
      <c r="B3305" s="41" t="n"/>
      <c r="C3305" s="41" t="n"/>
      <c r="F3305" s="41" t="n"/>
      <c r="H3305" s="41" t="n"/>
    </row>
    <row r="3306" ht="25.8" customHeight="1">
      <c r="B3306" s="41" t="n"/>
      <c r="C3306" s="41" t="n"/>
      <c r="F3306" s="41" t="n"/>
      <c r="H3306" s="41" t="n"/>
    </row>
    <row r="3307" ht="25.8" customHeight="1">
      <c r="B3307" s="41" t="n"/>
      <c r="C3307" s="41" t="n"/>
      <c r="F3307" s="41" t="n"/>
      <c r="H3307" s="41" t="n"/>
    </row>
    <row r="3308" ht="25.8" customHeight="1">
      <c r="B3308" s="41" t="n"/>
      <c r="C3308" s="41" t="n"/>
      <c r="F3308" s="41" t="n"/>
      <c r="H3308" s="41" t="n"/>
    </row>
    <row r="3309" ht="25.8" customHeight="1">
      <c r="B3309" s="41" t="n"/>
      <c r="C3309" s="41" t="n"/>
      <c r="F3309" s="41" t="n"/>
      <c r="H3309" s="41" t="n"/>
    </row>
    <row r="3310" ht="25.8" customHeight="1">
      <c r="B3310" s="41" t="n"/>
      <c r="C3310" s="41" t="n"/>
      <c r="F3310" s="41" t="n"/>
      <c r="H3310" s="41" t="n"/>
    </row>
    <row r="3311" ht="25.8" customHeight="1">
      <c r="B3311" s="41" t="n"/>
      <c r="C3311" s="41" t="n"/>
      <c r="F3311" s="41" t="n"/>
      <c r="H3311" s="41" t="n"/>
    </row>
    <row r="3312" ht="25.8" customHeight="1">
      <c r="B3312" s="41" t="n"/>
      <c r="C3312" s="41" t="n"/>
      <c r="F3312" s="41" t="n"/>
      <c r="H3312" s="41" t="n"/>
    </row>
    <row r="3313" ht="25.8" customHeight="1">
      <c r="B3313" s="41" t="n"/>
      <c r="C3313" s="41" t="n"/>
      <c r="F3313" s="41" t="n"/>
      <c r="H3313" s="41" t="n"/>
    </row>
    <row r="3314" ht="25.8" customHeight="1">
      <c r="B3314" s="41" t="n"/>
      <c r="C3314" s="41" t="n"/>
      <c r="F3314" s="41" t="n"/>
      <c r="H3314" s="41" t="n"/>
    </row>
    <row r="3315" ht="25.8" customHeight="1">
      <c r="B3315" s="41" t="n"/>
      <c r="C3315" s="41" t="n"/>
      <c r="F3315" s="41" t="n"/>
      <c r="H3315" s="41" t="n"/>
    </row>
    <row r="3316" ht="25.8" customHeight="1">
      <c r="B3316" s="41" t="n"/>
      <c r="C3316" s="41" t="n"/>
      <c r="F3316" s="41" t="n"/>
      <c r="H3316" s="41" t="n"/>
    </row>
    <row r="3317" ht="25.8" customHeight="1">
      <c r="B3317" s="41" t="n"/>
      <c r="C3317" s="41" t="n"/>
      <c r="F3317" s="41" t="n"/>
      <c r="H3317" s="41" t="n"/>
    </row>
    <row r="3318" ht="25.8" customHeight="1">
      <c r="B3318" s="41" t="n"/>
      <c r="C3318" s="41" t="n"/>
      <c r="F3318" s="41" t="n"/>
      <c r="H3318" s="41" t="n"/>
    </row>
    <row r="3319" ht="25.8" customHeight="1">
      <c r="B3319" s="41" t="n"/>
      <c r="C3319" s="41" t="n"/>
      <c r="F3319" s="41" t="n"/>
      <c r="H3319" s="41" t="n"/>
    </row>
    <row r="3320" ht="25.8" customHeight="1">
      <c r="B3320" s="41" t="n"/>
      <c r="C3320" s="41" t="n"/>
      <c r="F3320" s="41" t="n"/>
      <c r="H3320" s="41" t="n"/>
    </row>
    <row r="3321" ht="25.8" customHeight="1">
      <c r="B3321" s="41" t="n"/>
      <c r="C3321" s="41" t="n"/>
      <c r="F3321" s="41" t="n"/>
      <c r="H3321" s="41" t="n"/>
    </row>
    <row r="3322" ht="25.8" customHeight="1">
      <c r="B3322" s="41" t="n"/>
      <c r="C3322" s="41" t="n"/>
      <c r="F3322" s="41" t="n"/>
      <c r="H3322" s="41" t="n"/>
    </row>
    <row r="3323" ht="25.8" customHeight="1">
      <c r="B3323" s="41" t="n"/>
      <c r="C3323" s="41" t="n"/>
      <c r="F3323" s="41" t="n"/>
      <c r="H3323" s="41" t="n"/>
    </row>
    <row r="3324" ht="25.8" customHeight="1">
      <c r="B3324" s="41" t="n"/>
      <c r="C3324" s="41" t="n"/>
      <c r="F3324" s="41" t="n"/>
      <c r="H3324" s="41" t="n"/>
    </row>
    <row r="3325" ht="25.8" customHeight="1">
      <c r="B3325" s="41" t="n"/>
      <c r="C3325" s="41" t="n"/>
      <c r="F3325" s="41" t="n"/>
      <c r="H3325" s="41" t="n"/>
    </row>
    <row r="3326" ht="25.8" customHeight="1">
      <c r="B3326" s="41" t="n"/>
      <c r="C3326" s="41" t="n"/>
      <c r="F3326" s="41" t="n"/>
      <c r="H3326" s="41" t="n"/>
    </row>
    <row r="3327" ht="25.8" customHeight="1">
      <c r="B3327" s="41" t="n"/>
      <c r="C3327" s="41" t="n"/>
      <c r="F3327" s="41" t="n"/>
      <c r="H3327" s="41" t="n"/>
    </row>
    <row r="3328" ht="25.8" customHeight="1">
      <c r="B3328" s="41" t="n"/>
      <c r="C3328" s="41" t="n"/>
      <c r="F3328" s="41" t="n"/>
      <c r="H3328" s="41" t="n"/>
    </row>
    <row r="3329" ht="25.8" customHeight="1">
      <c r="B3329" s="41" t="n"/>
      <c r="C3329" s="41" t="n"/>
      <c r="F3329" s="41" t="n"/>
      <c r="H3329" s="41" t="n"/>
    </row>
    <row r="3330" ht="25.8" customHeight="1">
      <c r="B3330" s="41" t="n"/>
      <c r="C3330" s="41" t="n"/>
      <c r="F3330" s="41" t="n"/>
      <c r="H3330" s="41" t="n"/>
    </row>
    <row r="3331" ht="25.8" customHeight="1">
      <c r="B3331" s="41" t="n"/>
      <c r="C3331" s="41" t="n"/>
      <c r="F3331" s="41" t="n"/>
      <c r="H3331" s="41" t="n"/>
    </row>
    <row r="3332" ht="25.8" customHeight="1">
      <c r="B3332" s="41" t="n"/>
      <c r="C3332" s="41" t="n"/>
      <c r="F3332" s="41" t="n"/>
      <c r="H3332" s="41" t="n"/>
    </row>
    <row r="3333" ht="25.8" customHeight="1">
      <c r="B3333" s="41" t="n"/>
      <c r="C3333" s="41" t="n"/>
      <c r="F3333" s="41" t="n"/>
      <c r="H3333" s="41" t="n"/>
    </row>
    <row r="3334" ht="25.8" customHeight="1">
      <c r="B3334" s="41" t="n"/>
      <c r="C3334" s="41" t="n"/>
      <c r="F3334" s="41" t="n"/>
      <c r="H3334" s="41" t="n"/>
    </row>
    <row r="3335" ht="25.8" customHeight="1">
      <c r="B3335" s="41" t="n"/>
      <c r="C3335" s="41" t="n"/>
      <c r="F3335" s="41" t="n"/>
      <c r="H3335" s="41" t="n"/>
    </row>
    <row r="3336" ht="25.8" customHeight="1">
      <c r="B3336" s="41" t="n"/>
      <c r="C3336" s="41" t="n"/>
      <c r="F3336" s="41" t="n"/>
      <c r="H3336" s="41" t="n"/>
    </row>
    <row r="3337" ht="25.8" customHeight="1">
      <c r="B3337" s="41" t="n"/>
      <c r="C3337" s="41" t="n"/>
      <c r="F3337" s="41" t="n"/>
      <c r="H3337" s="41" t="n"/>
    </row>
    <row r="3338" ht="25.8" customHeight="1">
      <c r="B3338" s="41" t="n"/>
      <c r="C3338" s="41" t="n"/>
      <c r="F3338" s="41" t="n"/>
      <c r="H3338" s="41" t="n"/>
    </row>
    <row r="3339" ht="25.8" customHeight="1">
      <c r="B3339" s="41" t="n"/>
      <c r="C3339" s="41" t="n"/>
      <c r="F3339" s="41" t="n"/>
      <c r="H3339" s="41" t="n"/>
    </row>
    <row r="3340" ht="25.8" customHeight="1">
      <c r="B3340" s="41" t="n"/>
      <c r="C3340" s="41" t="n"/>
      <c r="F3340" s="41" t="n"/>
      <c r="H3340" s="41" t="n"/>
    </row>
    <row r="3341" ht="25.8" customHeight="1">
      <c r="B3341" s="41" t="n"/>
      <c r="C3341" s="41" t="n"/>
      <c r="F3341" s="41" t="n"/>
      <c r="H3341" s="41" t="n"/>
    </row>
    <row r="3342" ht="25.8" customHeight="1">
      <c r="B3342" s="41" t="n"/>
      <c r="C3342" s="41" t="n"/>
      <c r="F3342" s="41" t="n"/>
      <c r="H3342" s="41" t="n"/>
    </row>
    <row r="3343" ht="25.8" customHeight="1">
      <c r="B3343" s="41" t="n"/>
      <c r="C3343" s="41" t="n"/>
      <c r="F3343" s="41" t="n"/>
      <c r="H3343" s="41" t="n"/>
    </row>
    <row r="3344" ht="25.8" customHeight="1">
      <c r="B3344" s="41" t="n"/>
      <c r="C3344" s="41" t="n"/>
      <c r="F3344" s="41" t="n"/>
      <c r="H3344" s="41" t="n"/>
    </row>
    <row r="3345" ht="25.8" customHeight="1">
      <c r="B3345" s="41" t="n"/>
      <c r="C3345" s="41" t="n"/>
      <c r="F3345" s="41" t="n"/>
      <c r="H3345" s="41" t="n"/>
    </row>
    <row r="3346" ht="25.8" customHeight="1">
      <c r="B3346" s="41" t="n"/>
      <c r="C3346" s="41" t="n"/>
      <c r="F3346" s="41" t="n"/>
      <c r="H3346" s="41" t="n"/>
    </row>
    <row r="3347" ht="25.8" customHeight="1">
      <c r="B3347" s="41" t="n"/>
      <c r="C3347" s="41" t="n"/>
      <c r="F3347" s="41" t="n"/>
      <c r="H3347" s="41" t="n"/>
    </row>
    <row r="3348" ht="25.8" customHeight="1">
      <c r="B3348" s="41" t="n"/>
      <c r="C3348" s="41" t="n"/>
      <c r="F3348" s="41" t="n"/>
      <c r="H3348" s="41" t="n"/>
    </row>
    <row r="3349" ht="25.8" customHeight="1">
      <c r="B3349" s="41" t="n"/>
      <c r="C3349" s="41" t="n"/>
      <c r="F3349" s="41" t="n"/>
      <c r="H3349" s="41" t="n"/>
    </row>
    <row r="3350" ht="25.8" customHeight="1">
      <c r="B3350" s="41" t="n"/>
      <c r="C3350" s="41" t="n"/>
      <c r="F3350" s="41" t="n"/>
      <c r="H3350" s="41" t="n"/>
    </row>
    <row r="3351" ht="25.8" customHeight="1">
      <c r="B3351" s="41" t="n"/>
      <c r="C3351" s="41" t="n"/>
      <c r="F3351" s="41" t="n"/>
      <c r="H3351" s="41" t="n"/>
    </row>
    <row r="3352" ht="25.8" customHeight="1">
      <c r="B3352" s="41" t="n"/>
      <c r="C3352" s="41" t="n"/>
      <c r="F3352" s="41" t="n"/>
      <c r="H3352" s="41" t="n"/>
    </row>
    <row r="3353" ht="25.8" customHeight="1">
      <c r="B3353" s="41" t="n"/>
      <c r="C3353" s="41" t="n"/>
      <c r="F3353" s="41" t="n"/>
      <c r="H3353" s="41" t="n"/>
    </row>
    <row r="3354" ht="25.8" customHeight="1">
      <c r="B3354" s="41" t="n"/>
      <c r="C3354" s="41" t="n"/>
      <c r="F3354" s="41" t="n"/>
      <c r="H3354" s="41" t="n"/>
    </row>
    <row r="3355" ht="25.8" customHeight="1">
      <c r="B3355" s="41" t="n"/>
      <c r="C3355" s="41" t="n"/>
      <c r="F3355" s="41" t="n"/>
      <c r="H3355" s="41" t="n"/>
    </row>
    <row r="3356" ht="25.8" customHeight="1">
      <c r="B3356" s="41" t="n"/>
      <c r="C3356" s="41" t="n"/>
      <c r="F3356" s="41" t="n"/>
      <c r="H3356" s="41" t="n"/>
    </row>
    <row r="3357" ht="25.8" customHeight="1">
      <c r="B3357" s="41" t="n"/>
      <c r="C3357" s="41" t="n"/>
      <c r="F3357" s="41" t="n"/>
      <c r="H3357" s="41" t="n"/>
    </row>
    <row r="3358" ht="25.8" customHeight="1">
      <c r="B3358" s="41" t="n"/>
      <c r="C3358" s="41" t="n"/>
      <c r="F3358" s="41" t="n"/>
      <c r="H3358" s="41" t="n"/>
    </row>
    <row r="3359" ht="25.8" customHeight="1">
      <c r="B3359" s="41" t="n"/>
      <c r="C3359" s="41" t="n"/>
      <c r="F3359" s="41" t="n"/>
      <c r="H3359" s="41" t="n"/>
    </row>
    <row r="3360" ht="25.8" customHeight="1">
      <c r="B3360" s="41" t="n"/>
      <c r="C3360" s="41" t="n"/>
      <c r="F3360" s="41" t="n"/>
      <c r="H3360" s="41" t="n"/>
    </row>
    <row r="3361" ht="25.8" customHeight="1">
      <c r="B3361" s="41" t="n"/>
      <c r="C3361" s="41" t="n"/>
      <c r="F3361" s="41" t="n"/>
      <c r="H3361" s="41" t="n"/>
    </row>
    <row r="3362" ht="25.8" customHeight="1">
      <c r="B3362" s="41" t="n"/>
      <c r="C3362" s="41" t="n"/>
      <c r="F3362" s="41" t="n"/>
      <c r="H3362" s="41" t="n"/>
    </row>
    <row r="3363" ht="25.8" customHeight="1">
      <c r="B3363" s="41" t="n"/>
      <c r="C3363" s="41" t="n"/>
      <c r="F3363" s="41" t="n"/>
      <c r="H3363" s="41" t="n"/>
    </row>
    <row r="3364" ht="25.8" customHeight="1">
      <c r="B3364" s="41" t="n"/>
      <c r="C3364" s="41" t="n"/>
      <c r="F3364" s="41" t="n"/>
      <c r="H3364" s="41" t="n"/>
    </row>
    <row r="3365" ht="25.8" customHeight="1">
      <c r="B3365" s="41" t="n"/>
      <c r="C3365" s="41" t="n"/>
      <c r="F3365" s="41" t="n"/>
      <c r="H3365" s="41" t="n"/>
    </row>
    <row r="3366" ht="25.8" customHeight="1">
      <c r="B3366" s="41" t="n"/>
      <c r="C3366" s="41" t="n"/>
      <c r="F3366" s="41" t="n"/>
      <c r="H3366" s="41" t="n"/>
    </row>
    <row r="3367" ht="25.8" customHeight="1">
      <c r="B3367" s="41" t="n"/>
      <c r="C3367" s="41" t="n"/>
      <c r="F3367" s="41" t="n"/>
      <c r="H3367" s="41" t="n"/>
    </row>
    <row r="3368" ht="25.8" customHeight="1">
      <c r="B3368" s="41" t="n"/>
      <c r="C3368" s="41" t="n"/>
      <c r="F3368" s="41" t="n"/>
      <c r="H3368" s="41" t="n"/>
    </row>
    <row r="3369" ht="25.8" customHeight="1">
      <c r="B3369" s="41" t="n"/>
      <c r="C3369" s="41" t="n"/>
      <c r="F3369" s="41" t="n"/>
      <c r="H3369" s="41" t="n"/>
    </row>
    <row r="3370" ht="25.8" customHeight="1">
      <c r="B3370" s="41" t="n"/>
      <c r="C3370" s="41" t="n"/>
      <c r="F3370" s="41" t="n"/>
      <c r="H3370" s="41" t="n"/>
    </row>
    <row r="3371" ht="25.8" customHeight="1">
      <c r="B3371" s="41" t="n"/>
      <c r="C3371" s="41" t="n"/>
      <c r="F3371" s="41" t="n"/>
      <c r="H3371" s="41" t="n"/>
    </row>
    <row r="3372" ht="25.8" customHeight="1">
      <c r="B3372" s="41" t="n"/>
      <c r="C3372" s="41" t="n"/>
      <c r="F3372" s="41" t="n"/>
      <c r="H3372" s="41" t="n"/>
    </row>
    <row r="3373" ht="25.8" customHeight="1">
      <c r="B3373" s="41" t="n"/>
      <c r="C3373" s="41" t="n"/>
      <c r="F3373" s="41" t="n"/>
      <c r="H3373" s="41" t="n"/>
    </row>
    <row r="3374" ht="25.8" customHeight="1">
      <c r="B3374" s="41" t="n"/>
      <c r="C3374" s="41" t="n"/>
      <c r="F3374" s="41" t="n"/>
      <c r="H3374" s="41" t="n"/>
    </row>
    <row r="3375" ht="25.8" customHeight="1">
      <c r="B3375" s="41" t="n"/>
      <c r="C3375" s="41" t="n"/>
      <c r="F3375" s="41" t="n"/>
      <c r="H3375" s="41" t="n"/>
    </row>
    <row r="3376" ht="25.8" customHeight="1">
      <c r="B3376" s="41" t="n"/>
      <c r="C3376" s="41" t="n"/>
      <c r="F3376" s="41" t="n"/>
      <c r="H3376" s="41" t="n"/>
    </row>
    <row r="3377" ht="25.8" customHeight="1">
      <c r="B3377" s="41" t="n"/>
      <c r="C3377" s="41" t="n"/>
      <c r="F3377" s="41" t="n"/>
      <c r="H3377" s="41" t="n"/>
    </row>
    <row r="3378" ht="25.8" customHeight="1">
      <c r="B3378" s="41" t="n"/>
      <c r="C3378" s="41" t="n"/>
      <c r="F3378" s="41" t="n"/>
      <c r="H3378" s="41" t="n"/>
    </row>
    <row r="3379" ht="25.8" customHeight="1">
      <c r="B3379" s="41" t="n"/>
      <c r="C3379" s="41" t="n"/>
      <c r="F3379" s="41" t="n"/>
      <c r="H3379" s="41" t="n"/>
    </row>
    <row r="3380" ht="25.8" customHeight="1">
      <c r="B3380" s="41" t="n"/>
      <c r="C3380" s="41" t="n"/>
      <c r="F3380" s="41" t="n"/>
      <c r="H3380" s="41" t="n"/>
    </row>
    <row r="3381" ht="25.8" customHeight="1">
      <c r="B3381" s="41" t="n"/>
      <c r="C3381" s="41" t="n"/>
      <c r="F3381" s="41" t="n"/>
      <c r="H3381" s="41" t="n"/>
    </row>
    <row r="3382" ht="25.8" customHeight="1">
      <c r="B3382" s="41" t="n"/>
      <c r="C3382" s="41" t="n"/>
      <c r="F3382" s="41" t="n"/>
      <c r="H3382" s="41" t="n"/>
    </row>
    <row r="3383" ht="25.8" customHeight="1">
      <c r="B3383" s="41" t="n"/>
      <c r="C3383" s="41" t="n"/>
      <c r="F3383" s="41" t="n"/>
      <c r="H3383" s="41" t="n"/>
    </row>
    <row r="3384" ht="25.8" customHeight="1">
      <c r="B3384" s="41" t="n"/>
      <c r="C3384" s="41" t="n"/>
      <c r="F3384" s="41" t="n"/>
      <c r="H3384" s="41" t="n"/>
    </row>
    <row r="3385" ht="25.8" customHeight="1">
      <c r="B3385" s="41" t="n"/>
      <c r="C3385" s="41" t="n"/>
      <c r="F3385" s="41" t="n"/>
      <c r="H3385" s="41" t="n"/>
    </row>
    <row r="3386" ht="25.8" customHeight="1">
      <c r="B3386" s="41" t="n"/>
      <c r="C3386" s="41" t="n"/>
      <c r="F3386" s="41" t="n"/>
      <c r="H3386" s="41" t="n"/>
    </row>
    <row r="3387" ht="25.8" customHeight="1">
      <c r="B3387" s="41" t="n"/>
      <c r="C3387" s="41" t="n"/>
      <c r="F3387" s="41" t="n"/>
      <c r="H3387" s="41" t="n"/>
    </row>
    <row r="3388" ht="25.8" customHeight="1">
      <c r="B3388" s="41" t="n"/>
      <c r="C3388" s="41" t="n"/>
      <c r="F3388" s="41" t="n"/>
      <c r="H3388" s="41" t="n"/>
    </row>
    <row r="3389" ht="25.8" customHeight="1">
      <c r="B3389" s="41" t="n"/>
      <c r="C3389" s="41" t="n"/>
      <c r="F3389" s="41" t="n"/>
      <c r="H3389" s="41" t="n"/>
    </row>
    <row r="3390" ht="25.8" customHeight="1">
      <c r="B3390" s="41" t="n"/>
      <c r="C3390" s="41" t="n"/>
      <c r="F3390" s="41" t="n"/>
      <c r="H3390" s="41" t="n"/>
    </row>
    <row r="3391" ht="25.8" customHeight="1">
      <c r="B3391" s="41" t="n"/>
      <c r="C3391" s="41" t="n"/>
      <c r="F3391" s="41" t="n"/>
      <c r="H3391" s="41" t="n"/>
    </row>
    <row r="3392" ht="25.8" customHeight="1">
      <c r="B3392" s="41" t="n"/>
      <c r="C3392" s="41" t="n"/>
      <c r="F3392" s="41" t="n"/>
      <c r="H3392" s="41" t="n"/>
    </row>
    <row r="3393" ht="25.8" customHeight="1">
      <c r="B3393" s="41" t="n"/>
      <c r="C3393" s="41" t="n"/>
      <c r="F3393" s="41" t="n"/>
      <c r="H3393" s="41" t="n"/>
    </row>
    <row r="3394" ht="25.8" customHeight="1">
      <c r="B3394" s="41" t="n"/>
      <c r="C3394" s="41" t="n"/>
      <c r="F3394" s="41" t="n"/>
      <c r="H3394" s="41" t="n"/>
    </row>
    <row r="3395" ht="25.8" customHeight="1">
      <c r="B3395" s="41" t="n"/>
      <c r="C3395" s="41" t="n"/>
      <c r="F3395" s="41" t="n"/>
      <c r="H3395" s="41" t="n"/>
    </row>
    <row r="3396" ht="25.8" customHeight="1">
      <c r="B3396" s="41" t="n"/>
      <c r="C3396" s="41" t="n"/>
      <c r="F3396" s="41" t="n"/>
      <c r="H3396" s="41" t="n"/>
    </row>
    <row r="3397" ht="25.8" customHeight="1">
      <c r="B3397" s="41" t="n"/>
      <c r="C3397" s="41" t="n"/>
      <c r="F3397" s="41" t="n"/>
      <c r="H3397" s="41" t="n"/>
    </row>
    <row r="3398" ht="25.8" customHeight="1">
      <c r="B3398" s="41" t="n"/>
      <c r="C3398" s="41" t="n"/>
      <c r="F3398" s="41" t="n"/>
      <c r="H3398" s="41" t="n"/>
    </row>
    <row r="3399" ht="25.8" customHeight="1">
      <c r="B3399" s="41" t="n"/>
      <c r="C3399" s="41" t="n"/>
      <c r="F3399" s="41" t="n"/>
      <c r="H3399" s="41" t="n"/>
    </row>
    <row r="3400" ht="25.8" customHeight="1">
      <c r="B3400" s="41" t="n"/>
      <c r="C3400" s="41" t="n"/>
      <c r="F3400" s="41" t="n"/>
      <c r="H3400" s="41" t="n"/>
    </row>
    <row r="3401" ht="25.8" customHeight="1">
      <c r="B3401" s="41" t="n"/>
      <c r="C3401" s="41" t="n"/>
      <c r="F3401" s="41" t="n"/>
      <c r="H3401" s="41" t="n"/>
    </row>
    <row r="3402" ht="25.8" customHeight="1">
      <c r="B3402" s="41" t="n"/>
      <c r="C3402" s="41" t="n"/>
      <c r="F3402" s="41" t="n"/>
      <c r="H3402" s="41" t="n"/>
    </row>
    <row r="3403" ht="25.8" customHeight="1">
      <c r="B3403" s="41" t="n"/>
      <c r="C3403" s="41" t="n"/>
      <c r="F3403" s="41" t="n"/>
      <c r="H3403" s="41" t="n"/>
    </row>
    <row r="3404" ht="25.8" customHeight="1">
      <c r="B3404" s="41" t="n"/>
      <c r="C3404" s="41" t="n"/>
      <c r="F3404" s="41" t="n"/>
      <c r="H3404" s="41" t="n"/>
    </row>
    <row r="3405" ht="25.8" customHeight="1">
      <c r="B3405" s="41" t="n"/>
      <c r="C3405" s="41" t="n"/>
      <c r="F3405" s="41" t="n"/>
      <c r="H3405" s="41" t="n"/>
    </row>
    <row r="3406" ht="25.8" customHeight="1">
      <c r="B3406" s="41" t="n"/>
      <c r="C3406" s="41" t="n"/>
      <c r="F3406" s="41" t="n"/>
      <c r="H3406" s="41" t="n"/>
    </row>
    <row r="3407" ht="25.8" customHeight="1">
      <c r="B3407" s="41" t="n"/>
      <c r="C3407" s="41" t="n"/>
      <c r="F3407" s="41" t="n"/>
      <c r="H3407" s="41" t="n"/>
    </row>
    <row r="3408" ht="25.8" customHeight="1">
      <c r="B3408" s="41" t="n"/>
      <c r="C3408" s="41" t="n"/>
      <c r="F3408" s="41" t="n"/>
      <c r="H3408" s="41" t="n"/>
    </row>
    <row r="3409" ht="25.8" customHeight="1">
      <c r="B3409" s="41" t="n"/>
      <c r="C3409" s="41" t="n"/>
      <c r="F3409" s="41" t="n"/>
      <c r="H3409" s="41" t="n"/>
    </row>
    <row r="3410" ht="25.8" customHeight="1">
      <c r="B3410" s="41" t="n"/>
      <c r="C3410" s="41" t="n"/>
      <c r="F3410" s="41" t="n"/>
      <c r="H3410" s="41" t="n"/>
    </row>
    <row r="3411" ht="25.8" customHeight="1">
      <c r="B3411" s="41" t="n"/>
      <c r="C3411" s="41" t="n"/>
      <c r="F3411" s="41" t="n"/>
      <c r="H3411" s="41" t="n"/>
    </row>
    <row r="3412" ht="25.8" customHeight="1">
      <c r="B3412" s="41" t="n"/>
      <c r="C3412" s="41" t="n"/>
      <c r="F3412" s="41" t="n"/>
      <c r="H3412" s="41" t="n"/>
    </row>
    <row r="3413" ht="25.8" customHeight="1">
      <c r="B3413" s="41" t="n"/>
      <c r="C3413" s="41" t="n"/>
      <c r="F3413" s="41" t="n"/>
      <c r="H3413" s="41" t="n"/>
    </row>
    <row r="3414" ht="25.8" customHeight="1">
      <c r="B3414" s="41" t="n"/>
      <c r="C3414" s="41" t="n"/>
      <c r="F3414" s="41" t="n"/>
      <c r="H3414" s="41" t="n"/>
    </row>
    <row r="3415" ht="25.8" customHeight="1">
      <c r="B3415" s="41" t="n"/>
      <c r="C3415" s="41" t="n"/>
      <c r="F3415" s="41" t="n"/>
      <c r="H3415" s="41" t="n"/>
    </row>
    <row r="3416" ht="25.8" customHeight="1">
      <c r="B3416" s="41" t="n"/>
      <c r="C3416" s="41" t="n"/>
      <c r="F3416" s="41" t="n"/>
      <c r="H3416" s="41" t="n"/>
    </row>
    <row r="3417" ht="25.8" customHeight="1">
      <c r="B3417" s="41" t="n"/>
      <c r="C3417" s="41" t="n"/>
      <c r="F3417" s="41" t="n"/>
      <c r="H3417" s="41" t="n"/>
    </row>
    <row r="3418" ht="25.8" customHeight="1">
      <c r="B3418" s="41" t="n"/>
      <c r="C3418" s="41" t="n"/>
      <c r="F3418" s="41" t="n"/>
      <c r="H3418" s="41" t="n"/>
    </row>
    <row r="3419" ht="25.8" customHeight="1">
      <c r="B3419" s="41" t="n"/>
      <c r="C3419" s="41" t="n"/>
      <c r="F3419" s="41" t="n"/>
      <c r="H3419" s="41" t="n"/>
    </row>
    <row r="3420" ht="25.8" customHeight="1">
      <c r="B3420" s="41" t="n"/>
      <c r="C3420" s="41" t="n"/>
      <c r="F3420" s="41" t="n"/>
      <c r="H3420" s="41" t="n"/>
    </row>
    <row r="3421" ht="25.8" customHeight="1">
      <c r="B3421" s="41" t="n"/>
      <c r="C3421" s="41" t="n"/>
      <c r="F3421" s="41" t="n"/>
      <c r="H3421" s="41" t="n"/>
    </row>
    <row r="3422" ht="25.8" customHeight="1">
      <c r="B3422" s="41" t="n"/>
      <c r="C3422" s="41" t="n"/>
      <c r="F3422" s="41" t="n"/>
      <c r="H3422" s="41" t="n"/>
    </row>
    <row r="3423" ht="25.8" customHeight="1">
      <c r="B3423" s="41" t="n"/>
      <c r="C3423" s="41" t="n"/>
      <c r="F3423" s="41" t="n"/>
      <c r="H3423" s="41" t="n"/>
    </row>
    <row r="3424" ht="25.8" customHeight="1">
      <c r="B3424" s="41" t="n"/>
      <c r="C3424" s="41" t="n"/>
      <c r="F3424" s="41" t="n"/>
      <c r="H3424" s="41" t="n"/>
    </row>
    <row r="3425" ht="25.8" customHeight="1">
      <c r="B3425" s="41" t="n"/>
      <c r="C3425" s="41" t="n"/>
      <c r="F3425" s="41" t="n"/>
      <c r="H3425" s="41" t="n"/>
    </row>
    <row r="3426" ht="25.8" customHeight="1">
      <c r="B3426" s="41" t="n"/>
      <c r="C3426" s="41" t="n"/>
      <c r="F3426" s="41" t="n"/>
      <c r="H3426" s="41" t="n"/>
    </row>
    <row r="3427" ht="25.8" customHeight="1">
      <c r="B3427" s="41" t="n"/>
      <c r="C3427" s="41" t="n"/>
      <c r="F3427" s="41" t="n"/>
      <c r="H3427" s="41" t="n"/>
    </row>
    <row r="3428" ht="25.8" customHeight="1">
      <c r="B3428" s="41" t="n"/>
      <c r="C3428" s="41" t="n"/>
      <c r="F3428" s="41" t="n"/>
      <c r="H3428" s="41" t="n"/>
    </row>
    <row r="3429" ht="25.8" customHeight="1">
      <c r="B3429" s="41" t="n"/>
      <c r="C3429" s="41" t="n"/>
      <c r="F3429" s="41" t="n"/>
      <c r="H3429" s="41" t="n"/>
    </row>
    <row r="3430" ht="25.8" customHeight="1">
      <c r="B3430" s="41" t="n"/>
      <c r="C3430" s="41" t="n"/>
      <c r="F3430" s="41" t="n"/>
      <c r="H3430" s="41" t="n"/>
    </row>
    <row r="3431" ht="25.8" customHeight="1">
      <c r="B3431" s="41" t="n"/>
      <c r="C3431" s="41" t="n"/>
      <c r="F3431" s="41" t="n"/>
      <c r="H3431" s="41" t="n"/>
    </row>
    <row r="3432" ht="25.8" customHeight="1">
      <c r="B3432" s="41" t="n"/>
      <c r="C3432" s="41" t="n"/>
      <c r="F3432" s="41" t="n"/>
      <c r="H3432" s="41" t="n"/>
    </row>
    <row r="3433" ht="25.8" customHeight="1">
      <c r="B3433" s="41" t="n"/>
      <c r="C3433" s="41" t="n"/>
      <c r="F3433" s="41" t="n"/>
      <c r="H3433" s="41" t="n"/>
    </row>
    <row r="3434" ht="25.8" customHeight="1">
      <c r="B3434" s="41" t="n"/>
      <c r="C3434" s="41" t="n"/>
      <c r="F3434" s="41" t="n"/>
      <c r="H3434" s="41" t="n"/>
    </row>
    <row r="3435" ht="25.8" customHeight="1">
      <c r="B3435" s="41" t="n"/>
      <c r="C3435" s="41" t="n"/>
      <c r="F3435" s="41" t="n"/>
      <c r="H3435" s="41" t="n"/>
    </row>
    <row r="3436" ht="25.8" customHeight="1">
      <c r="B3436" s="41" t="n"/>
      <c r="C3436" s="41" t="n"/>
      <c r="F3436" s="41" t="n"/>
      <c r="H3436" s="41" t="n"/>
    </row>
    <row r="3437" ht="25.8" customHeight="1">
      <c r="B3437" s="41" t="n"/>
      <c r="C3437" s="41" t="n"/>
      <c r="F3437" s="41" t="n"/>
      <c r="H3437" s="41" t="n"/>
    </row>
    <row r="3438" ht="25.8" customHeight="1">
      <c r="B3438" s="41" t="n"/>
      <c r="C3438" s="41" t="n"/>
      <c r="F3438" s="41" t="n"/>
      <c r="H3438" s="41" t="n"/>
    </row>
    <row r="3439" ht="25.8" customHeight="1">
      <c r="B3439" s="41" t="n"/>
      <c r="C3439" s="41" t="n"/>
      <c r="F3439" s="41" t="n"/>
      <c r="H3439" s="41" t="n"/>
    </row>
    <row r="3440" ht="25.8" customHeight="1">
      <c r="B3440" s="41" t="n"/>
      <c r="C3440" s="41" t="n"/>
      <c r="F3440" s="41" t="n"/>
      <c r="H3440" s="41" t="n"/>
    </row>
    <row r="3441" ht="25.8" customHeight="1">
      <c r="B3441" s="41" t="n"/>
      <c r="C3441" s="41" t="n"/>
      <c r="F3441" s="41" t="n"/>
      <c r="H3441" s="41" t="n"/>
    </row>
    <row r="3442" ht="25.8" customHeight="1">
      <c r="B3442" s="41" t="n"/>
      <c r="C3442" s="41" t="n"/>
      <c r="F3442" s="41" t="n"/>
      <c r="H3442" s="41" t="n"/>
    </row>
    <row r="3443" ht="25.8" customHeight="1">
      <c r="B3443" s="41" t="n"/>
      <c r="C3443" s="41" t="n"/>
      <c r="F3443" s="41" t="n"/>
      <c r="H3443" s="41" t="n"/>
    </row>
    <row r="3444" ht="25.8" customHeight="1">
      <c r="B3444" s="41" t="n"/>
      <c r="C3444" s="41" t="n"/>
      <c r="F3444" s="41" t="n"/>
      <c r="H3444" s="41" t="n"/>
    </row>
    <row r="3445" ht="25.8" customHeight="1">
      <c r="B3445" s="41" t="n"/>
      <c r="C3445" s="41" t="n"/>
      <c r="F3445" s="41" t="n"/>
      <c r="H3445" s="41" t="n"/>
    </row>
    <row r="3446" ht="25.8" customHeight="1">
      <c r="B3446" s="41" t="n"/>
      <c r="C3446" s="41" t="n"/>
      <c r="F3446" s="41" t="n"/>
      <c r="H3446" s="41" t="n"/>
    </row>
    <row r="3447" ht="25.8" customHeight="1">
      <c r="B3447" s="41" t="n"/>
      <c r="C3447" s="41" t="n"/>
      <c r="F3447" s="41" t="n"/>
      <c r="H3447" s="41" t="n"/>
    </row>
    <row r="3448" ht="25.8" customHeight="1">
      <c r="B3448" s="41" t="n"/>
      <c r="C3448" s="41" t="n"/>
      <c r="F3448" s="41" t="n"/>
      <c r="H3448" s="41" t="n"/>
    </row>
    <row r="3449" ht="25.8" customHeight="1">
      <c r="B3449" s="41" t="n"/>
      <c r="C3449" s="41" t="n"/>
      <c r="F3449" s="41" t="n"/>
      <c r="H3449" s="41" t="n"/>
    </row>
    <row r="3450" ht="25.8" customHeight="1">
      <c r="B3450" s="41" t="n"/>
      <c r="C3450" s="41" t="n"/>
      <c r="F3450" s="41" t="n"/>
      <c r="H3450" s="41" t="n"/>
    </row>
    <row r="3451" ht="25.8" customHeight="1">
      <c r="B3451" s="41" t="n"/>
      <c r="C3451" s="41" t="n"/>
      <c r="F3451" s="41" t="n"/>
      <c r="H3451" s="41" t="n"/>
    </row>
    <row r="3452" ht="25.8" customHeight="1">
      <c r="B3452" s="41" t="n"/>
      <c r="C3452" s="41" t="n"/>
      <c r="F3452" s="41" t="n"/>
      <c r="H3452" s="41" t="n"/>
    </row>
    <row r="3453" ht="25.8" customHeight="1">
      <c r="B3453" s="41" t="n"/>
      <c r="C3453" s="41" t="n"/>
      <c r="F3453" s="41" t="n"/>
      <c r="H3453" s="41" t="n"/>
    </row>
    <row r="3454" ht="25.8" customHeight="1">
      <c r="B3454" s="41" t="n"/>
      <c r="C3454" s="41" t="n"/>
      <c r="F3454" s="41" t="n"/>
      <c r="H3454" s="41" t="n"/>
    </row>
    <row r="3455" ht="25.8" customHeight="1">
      <c r="B3455" s="41" t="n"/>
      <c r="C3455" s="41" t="n"/>
      <c r="F3455" s="41" t="n"/>
      <c r="H3455" s="41" t="n"/>
    </row>
    <row r="3456" ht="25.8" customHeight="1">
      <c r="B3456" s="41" t="n"/>
      <c r="C3456" s="41" t="n"/>
      <c r="F3456" s="41" t="n"/>
      <c r="H3456" s="41" t="n"/>
    </row>
    <row r="3457" ht="25.8" customHeight="1">
      <c r="B3457" s="41" t="n"/>
      <c r="C3457" s="41" t="n"/>
      <c r="F3457" s="41" t="n"/>
      <c r="H3457" s="41" t="n"/>
    </row>
    <row r="3458" ht="25.8" customHeight="1">
      <c r="B3458" s="41" t="n"/>
      <c r="C3458" s="41" t="n"/>
      <c r="F3458" s="41" t="n"/>
      <c r="H3458" s="41" t="n"/>
    </row>
    <row r="3459" ht="25.8" customHeight="1">
      <c r="B3459" s="41" t="n"/>
      <c r="C3459" s="41" t="n"/>
      <c r="F3459" s="41" t="n"/>
      <c r="H3459" s="41" t="n"/>
    </row>
    <row r="3460" ht="25.8" customHeight="1">
      <c r="B3460" s="41" t="n"/>
      <c r="C3460" s="41" t="n"/>
      <c r="F3460" s="41" t="n"/>
      <c r="H3460" s="41" t="n"/>
    </row>
    <row r="3461" ht="25.8" customHeight="1">
      <c r="B3461" s="41" t="n"/>
      <c r="C3461" s="41" t="n"/>
      <c r="F3461" s="41" t="n"/>
      <c r="H3461" s="41" t="n"/>
    </row>
    <row r="3462" ht="25.8" customHeight="1">
      <c r="B3462" s="41" t="n"/>
      <c r="C3462" s="41" t="n"/>
      <c r="F3462" s="41" t="n"/>
      <c r="H3462" s="41" t="n"/>
    </row>
    <row r="3463" ht="25.8" customHeight="1">
      <c r="B3463" s="41" t="n"/>
      <c r="C3463" s="41" t="n"/>
      <c r="F3463" s="41" t="n"/>
      <c r="H3463" s="41" t="n"/>
    </row>
    <row r="3464" ht="25.8" customHeight="1">
      <c r="B3464" s="41" t="n"/>
      <c r="C3464" s="41" t="n"/>
      <c r="F3464" s="41" t="n"/>
      <c r="H3464" s="41" t="n"/>
    </row>
    <row r="3465" ht="25.8" customHeight="1">
      <c r="B3465" s="41" t="n"/>
      <c r="C3465" s="41" t="n"/>
      <c r="F3465" s="41" t="n"/>
      <c r="H3465" s="41" t="n"/>
    </row>
    <row r="3466" ht="25.8" customHeight="1">
      <c r="B3466" s="41" t="n"/>
      <c r="C3466" s="41" t="n"/>
      <c r="F3466" s="41" t="n"/>
      <c r="H3466" s="41" t="n"/>
    </row>
    <row r="3467" ht="25.8" customHeight="1">
      <c r="B3467" s="41" t="n"/>
      <c r="C3467" s="41" t="n"/>
      <c r="F3467" s="41" t="n"/>
      <c r="H3467" s="41" t="n"/>
    </row>
    <row r="3468" ht="25.8" customHeight="1">
      <c r="B3468" s="41" t="n"/>
      <c r="C3468" s="41" t="n"/>
      <c r="F3468" s="41" t="n"/>
      <c r="H3468" s="41" t="n"/>
    </row>
    <row r="3469" ht="25.8" customHeight="1">
      <c r="B3469" s="41" t="n"/>
      <c r="C3469" s="41" t="n"/>
      <c r="F3469" s="41" t="n"/>
      <c r="H3469" s="41" t="n"/>
    </row>
    <row r="3470" ht="25.8" customHeight="1">
      <c r="B3470" s="41" t="n"/>
      <c r="C3470" s="41" t="n"/>
      <c r="F3470" s="41" t="n"/>
      <c r="H3470" s="41" t="n"/>
    </row>
    <row r="3471" ht="25.8" customHeight="1">
      <c r="B3471" s="41" t="n"/>
      <c r="C3471" s="41" t="n"/>
      <c r="F3471" s="41" t="n"/>
      <c r="H3471" s="41" t="n"/>
    </row>
    <row r="3472" ht="25.8" customHeight="1">
      <c r="B3472" s="41" t="n"/>
      <c r="C3472" s="41" t="n"/>
      <c r="F3472" s="41" t="n"/>
      <c r="H3472" s="41" t="n"/>
    </row>
    <row r="3473" ht="25.8" customHeight="1">
      <c r="B3473" s="41" t="n"/>
      <c r="C3473" s="41" t="n"/>
      <c r="F3473" s="41" t="n"/>
      <c r="H3473" s="41" t="n"/>
    </row>
    <row r="3474" ht="25.8" customHeight="1">
      <c r="B3474" s="41" t="n"/>
      <c r="C3474" s="41" t="n"/>
      <c r="F3474" s="41" t="n"/>
      <c r="H3474" s="41" t="n"/>
    </row>
    <row r="3475" ht="25.8" customHeight="1">
      <c r="B3475" s="41" t="n"/>
      <c r="C3475" s="41" t="n"/>
      <c r="F3475" s="41" t="n"/>
      <c r="H3475" s="41" t="n"/>
    </row>
    <row r="3476" ht="25.8" customHeight="1">
      <c r="B3476" s="41" t="n"/>
      <c r="C3476" s="41" t="n"/>
      <c r="F3476" s="41" t="n"/>
      <c r="H3476" s="41" t="n"/>
    </row>
    <row r="3477" ht="25.8" customHeight="1">
      <c r="B3477" s="41" t="n"/>
      <c r="C3477" s="41" t="n"/>
      <c r="F3477" s="41" t="n"/>
      <c r="H3477" s="41" t="n"/>
    </row>
    <row r="3478" ht="25.8" customHeight="1">
      <c r="B3478" s="41" t="n"/>
      <c r="C3478" s="41" t="n"/>
      <c r="F3478" s="41" t="n"/>
      <c r="H3478" s="41" t="n"/>
    </row>
    <row r="3479" ht="25.8" customHeight="1">
      <c r="B3479" s="41" t="n"/>
      <c r="C3479" s="41" t="n"/>
      <c r="F3479" s="41" t="n"/>
      <c r="H3479" s="41" t="n"/>
    </row>
    <row r="3480" ht="25.8" customHeight="1">
      <c r="B3480" s="41" t="n"/>
      <c r="C3480" s="41" t="n"/>
      <c r="F3480" s="41" t="n"/>
      <c r="H3480" s="41" t="n"/>
    </row>
    <row r="3481" ht="25.8" customHeight="1">
      <c r="B3481" s="41" t="n"/>
      <c r="C3481" s="41" t="n"/>
      <c r="F3481" s="41" t="n"/>
      <c r="H3481" s="41" t="n"/>
    </row>
    <row r="3482" ht="25.8" customHeight="1">
      <c r="B3482" s="41" t="n"/>
      <c r="C3482" s="41" t="n"/>
      <c r="F3482" s="41" t="n"/>
      <c r="H3482" s="41" t="n"/>
    </row>
    <row r="3483" ht="25.8" customHeight="1">
      <c r="B3483" s="41" t="n"/>
      <c r="C3483" s="41" t="n"/>
      <c r="F3483" s="41" t="n"/>
      <c r="H3483" s="41" t="n"/>
    </row>
    <row r="3484" ht="25.8" customHeight="1">
      <c r="B3484" s="41" t="n"/>
      <c r="C3484" s="41" t="n"/>
      <c r="F3484" s="41" t="n"/>
      <c r="H3484" s="41" t="n"/>
    </row>
    <row r="3485" ht="25.8" customHeight="1">
      <c r="B3485" s="41" t="n"/>
      <c r="C3485" s="41" t="n"/>
      <c r="F3485" s="41" t="n"/>
      <c r="H3485" s="41" t="n"/>
    </row>
    <row r="3486" ht="25.8" customHeight="1">
      <c r="B3486" s="41" t="n"/>
      <c r="C3486" s="41" t="n"/>
      <c r="F3486" s="41" t="n"/>
      <c r="H3486" s="41" t="n"/>
    </row>
    <row r="3487" ht="25.8" customHeight="1">
      <c r="B3487" s="41" t="n"/>
      <c r="C3487" s="41" t="n"/>
      <c r="F3487" s="41" t="n"/>
      <c r="H3487" s="41" t="n"/>
    </row>
    <row r="3488" ht="25.8" customHeight="1">
      <c r="B3488" s="41" t="n"/>
      <c r="C3488" s="41" t="n"/>
      <c r="F3488" s="41" t="n"/>
      <c r="H3488" s="41" t="n"/>
    </row>
    <row r="3489" ht="25.8" customHeight="1">
      <c r="B3489" s="41" t="n"/>
      <c r="C3489" s="41" t="n"/>
    </row>
  </sheetData>
  <dataValidations count="1">
    <dataValidation sqref="E7:E8" showDropDown="0" showInputMessage="1" showErrorMessage="1" allowBlank="0"/>
  </dataValidation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B1:H292"/>
  <sheetViews>
    <sheetView showGridLines="0" showRowColHeaders="0" zoomScale="85" zoomScaleNormal="85" workbookViewId="0">
      <pane ySplit="11" topLeftCell="A12" activePane="bottomLeft" state="frozen"/>
      <selection pane="bottomLeft" activeCell="H63" sqref="H63"/>
    </sheetView>
  </sheetViews>
  <sheetFormatPr baseColWidth="8" defaultColWidth="62.6640625" defaultRowHeight="14.4"/>
  <cols>
    <col width="5" customWidth="1" style="13" min="1" max="1"/>
    <col width="25.44140625" bestFit="1" customWidth="1" style="13" min="2" max="2"/>
    <col width="11.44140625" bestFit="1" customWidth="1" style="13" min="3" max="3"/>
    <col width="118.77734375" bestFit="1" customWidth="1" style="13" min="4" max="4"/>
    <col width="18.6640625" bestFit="1" customWidth="1" style="13" min="5" max="5"/>
    <col width="12.77734375" bestFit="1" customWidth="1" style="15" min="6" max="6"/>
    <col width="16.109375" bestFit="1" customWidth="1" style="13" min="7" max="7"/>
    <col width="16.77734375" bestFit="1" customWidth="1" style="13" min="8" max="8"/>
    <col width="62.6640625" customWidth="1" style="13" min="9" max="16384"/>
  </cols>
  <sheetData>
    <row r="1">
      <c r="B1" s="11" t="n"/>
      <c r="C1" s="11" t="n"/>
      <c r="D1" s="71" t="n"/>
      <c r="E1" s="11" t="n"/>
      <c r="F1" s="12" t="n"/>
      <c r="G1" s="11" t="n"/>
      <c r="H1" s="11" t="n"/>
    </row>
    <row r="2">
      <c r="B2" s="11" t="n"/>
      <c r="C2" s="11" t="n"/>
      <c r="D2" s="13" t="n"/>
      <c r="E2" s="11" t="n"/>
      <c r="F2" s="12" t="n"/>
      <c r="G2" s="11" t="n"/>
      <c r="H2" s="11" t="n"/>
    </row>
    <row r="3" ht="15" customHeight="1" thickBot="1">
      <c r="B3" s="11" t="n"/>
      <c r="C3" s="11" t="n"/>
      <c r="D3" s="11" t="n"/>
      <c r="E3" s="11" t="n"/>
      <c r="F3" s="12" t="n"/>
      <c r="G3" s="11" t="n"/>
      <c r="H3" s="11" t="n"/>
    </row>
    <row r="4" ht="15" customHeight="1" thickTop="1">
      <c r="B4" s="81" t="inlineStr">
        <is>
          <t>Quantitativos - PV</t>
        </is>
      </c>
      <c r="C4" s="82" t="n"/>
      <c r="D4" s="82" t="n"/>
      <c r="E4" s="82" t="n"/>
      <c r="F4" s="82" t="n"/>
      <c r="G4" s="82" t="n"/>
      <c r="H4" s="83" t="n"/>
    </row>
    <row r="5">
      <c r="B5" s="84" t="n"/>
      <c r="C5" s="13" t="n"/>
      <c r="D5" s="13" t="n"/>
      <c r="E5" s="13" t="n"/>
      <c r="F5" s="13" t="n"/>
      <c r="G5" s="13" t="n"/>
      <c r="H5" s="85" t="n"/>
    </row>
    <row r="6" ht="15" customHeight="1" thickBot="1">
      <c r="B6" s="11" t="n"/>
      <c r="C6" s="11" t="n"/>
      <c r="D6" s="11" t="n"/>
      <c r="E6" s="11" t="n"/>
      <c r="F6" s="12" t="n"/>
      <c r="G6" s="11" t="n"/>
      <c r="H6" s="11" t="n"/>
    </row>
    <row r="7" ht="15.6" customHeight="1" thickBot="1" thickTop="1">
      <c r="B7" s="1" t="inlineStr">
        <is>
          <t>Fornecedor:</t>
        </is>
      </c>
      <c r="C7" s="33" t="inlineStr">
        <is>
          <t>LS OFFICE</t>
        </is>
      </c>
      <c r="E7" s="11" t="n"/>
      <c r="F7" s="12" t="n"/>
      <c r="G7" s="11" t="n"/>
      <c r="H7" s="11" t="n"/>
    </row>
    <row r="8" ht="28.8" customHeight="1" thickBot="1" thickTop="1">
      <c r="B8" s="1" t="inlineStr">
        <is>
          <t>ID Highline:</t>
        </is>
      </c>
      <c r="C8" s="61" t="inlineStr">
        <is>
          <t>PV MÉDIO CONSOLIDADO</t>
        </is>
      </c>
      <c r="E8" s="11" t="n"/>
      <c r="F8" s="12" t="n"/>
      <c r="G8" s="11" t="n"/>
      <c r="H8" s="11" t="n"/>
    </row>
    <row r="9" ht="15" customHeight="1" thickTop="1">
      <c r="B9" s="1" t="inlineStr">
        <is>
          <t>Estado</t>
        </is>
      </c>
      <c r="C9" s="33" t="inlineStr">
        <is>
          <t>TODOS</t>
        </is>
      </c>
      <c r="D9" s="11" t="n"/>
      <c r="E9" s="11" t="n"/>
      <c r="F9" s="12" t="n"/>
      <c r="G9" s="11" t="n"/>
      <c r="H9" s="11" t="n"/>
    </row>
    <row r="10">
      <c r="B10" s="11" t="n"/>
      <c r="C10" s="14" t="n"/>
      <c r="D10" s="20" t="n"/>
      <c r="F10" s="12" t="n"/>
      <c r="G10" s="11" t="n"/>
      <c r="H10" s="11" t="n"/>
    </row>
    <row r="11">
      <c r="B11" s="51" t="inlineStr">
        <is>
          <t>Atividade</t>
        </is>
      </c>
      <c r="C11" s="52" t="inlineStr">
        <is>
          <t>Item</t>
        </is>
      </c>
      <c r="D11" s="53" t="inlineStr">
        <is>
          <t>Descrição</t>
        </is>
      </c>
      <c r="E11" s="53" t="inlineStr">
        <is>
          <t>Unid. Medida</t>
        </is>
      </c>
      <c r="F11" s="53" t="inlineStr">
        <is>
          <t>Quant</t>
        </is>
      </c>
      <c r="G11" s="53" t="inlineStr">
        <is>
          <t>Valor Unit</t>
        </is>
      </c>
      <c r="H11" s="54" t="inlineStr">
        <is>
          <t>Valor Total</t>
        </is>
      </c>
    </row>
    <row r="12" hidden="1">
      <c r="B12" s="49" t="inlineStr">
        <is>
          <t>Serviços de Engenharia</t>
        </is>
      </c>
      <c r="C12" s="38" t="inlineStr">
        <is>
          <t>SEN01</t>
        </is>
      </c>
      <c r="D12" s="38" t="inlineStr">
        <is>
          <t>Projeto Executivo</t>
        </is>
      </c>
      <c r="E12" s="38" t="inlineStr">
        <is>
          <t>Vb</t>
        </is>
      </c>
      <c r="F12" s="39" t="n"/>
      <c r="G12" s="86" t="n"/>
      <c r="H12" s="87">
        <f>G12*F12</f>
        <v/>
      </c>
    </row>
    <row r="13" hidden="1">
      <c r="B13" s="49" t="inlineStr">
        <is>
          <t>Serviços de Engenharia</t>
        </is>
      </c>
      <c r="C13" s="38" t="inlineStr">
        <is>
          <t>SEN02</t>
        </is>
      </c>
      <c r="D13" s="38" t="inlineStr">
        <is>
          <t>As Built</t>
        </is>
      </c>
      <c r="E13" s="88" t="inlineStr">
        <is>
          <t>Vb</t>
        </is>
      </c>
      <c r="F13" s="39" t="n"/>
      <c r="G13" s="86" t="n">
        <v>940</v>
      </c>
      <c r="H13" s="87">
        <f>G13*F13</f>
        <v/>
      </c>
    </row>
    <row r="14" hidden="1">
      <c r="B14" s="49" t="inlineStr">
        <is>
          <t>Serviços de Engenharia</t>
        </is>
      </c>
      <c r="C14" s="38" t="inlineStr">
        <is>
          <t>SEN03</t>
        </is>
      </c>
      <c r="D14" s="38" t="inlineStr">
        <is>
          <t>Revisão de Projeto de Prefeitura (Compartilhamento ou ampliação)</t>
        </is>
      </c>
      <c r="E14" s="38" t="inlineStr">
        <is>
          <t>Vb</t>
        </is>
      </c>
      <c r="F14" s="39" t="n"/>
      <c r="G14" s="86" t="n"/>
      <c r="H14" s="87">
        <f>G14*F14</f>
        <v/>
      </c>
    </row>
    <row r="15" hidden="1">
      <c r="B15" s="49" t="inlineStr">
        <is>
          <t>Serviços de Engenharia</t>
        </is>
      </c>
      <c r="C15" s="38" t="inlineStr">
        <is>
          <t>SEN04</t>
        </is>
      </c>
      <c r="D15" s="38" t="inlineStr">
        <is>
          <t>Revisão de Projeto Executivo (Compartilhamento ou ampliação)</t>
        </is>
      </c>
      <c r="E15" s="88" t="inlineStr">
        <is>
          <t>Vb</t>
        </is>
      </c>
      <c r="F15" s="39" t="n"/>
      <c r="G15" s="86" t="n"/>
      <c r="H15" s="87">
        <f>G15*F15</f>
        <v/>
      </c>
    </row>
    <row r="16" hidden="1">
      <c r="B16" s="49" t="inlineStr">
        <is>
          <t>Serviços de Engenharia</t>
        </is>
      </c>
      <c r="C16" s="38" t="inlineStr">
        <is>
          <t>SEN05</t>
        </is>
      </c>
      <c r="D16" s="38" t="inlineStr">
        <is>
          <t>Revisão de As Built (Compartilhamento ou ampliação)</t>
        </is>
      </c>
      <c r="E16" s="38" t="inlineStr">
        <is>
          <t>Vb</t>
        </is>
      </c>
      <c r="F16" s="39" t="n"/>
      <c r="G16" s="86" t="n">
        <v>850</v>
      </c>
      <c r="H16" s="87">
        <f>G16*F16</f>
        <v/>
      </c>
    </row>
    <row r="17" hidden="1">
      <c r="B17" s="49" t="inlineStr">
        <is>
          <t>Serviços de Engenharia</t>
        </is>
      </c>
      <c r="C17" s="38" t="inlineStr">
        <is>
          <t>SEN06</t>
        </is>
      </c>
      <c r="D17" s="38" t="inlineStr">
        <is>
          <t>Sondagem à percussão</t>
        </is>
      </c>
      <c r="E17" s="88" t="inlineStr">
        <is>
          <t>Vb</t>
        </is>
      </c>
      <c r="F17" s="39" t="n"/>
      <c r="G17" s="86" t="n"/>
      <c r="H17" s="87">
        <f>G17*F17</f>
        <v/>
      </c>
    </row>
    <row r="18" hidden="1">
      <c r="B18" s="49" t="inlineStr">
        <is>
          <t>Serviços de Engenharia</t>
        </is>
      </c>
      <c r="C18" s="38" t="inlineStr">
        <is>
          <t>SEN07</t>
        </is>
      </c>
      <c r="D18" s="38" t="inlineStr">
        <is>
          <t>Sondagem Rotativa</t>
        </is>
      </c>
      <c r="E18" s="38" t="inlineStr">
        <is>
          <t>Vb</t>
        </is>
      </c>
      <c r="F18" s="39" t="n"/>
      <c r="G18" s="86" t="n"/>
      <c r="H18" s="87">
        <f>G18*F18</f>
        <v/>
      </c>
    </row>
    <row r="19" hidden="1">
      <c r="B19" s="49" t="inlineStr">
        <is>
          <t>Serviços de Engenharia</t>
        </is>
      </c>
      <c r="C19" s="38" t="inlineStr">
        <is>
          <t>SEN08</t>
        </is>
      </c>
      <c r="D19" s="38" t="inlineStr">
        <is>
          <t>Laudo Estrutural para Roof Top</t>
        </is>
      </c>
      <c r="E19" s="88" t="inlineStr">
        <is>
          <t>Vb</t>
        </is>
      </c>
      <c r="F19" s="39" t="n"/>
      <c r="G19" s="86" t="n"/>
      <c r="H19" s="87">
        <f>G19*F19</f>
        <v/>
      </c>
    </row>
    <row r="20" hidden="1">
      <c r="B20" s="49" t="inlineStr">
        <is>
          <t>Serviços de Engenharia</t>
        </is>
      </c>
      <c r="C20" s="38" t="inlineStr">
        <is>
          <t>SEN09</t>
        </is>
      </c>
      <c r="D20" s="38" t="inlineStr">
        <is>
          <t>Projeto de Prefeitura</t>
        </is>
      </c>
      <c r="E20" s="38" t="inlineStr">
        <is>
          <t>Vb</t>
        </is>
      </c>
      <c r="F20" s="39" t="n"/>
      <c r="G20" s="86" t="n"/>
      <c r="H20" s="87">
        <f>G20*F20</f>
        <v/>
      </c>
    </row>
    <row r="21" hidden="1">
      <c r="B21" s="49" t="inlineStr">
        <is>
          <t>Serviços de Engenharia</t>
        </is>
      </c>
      <c r="C21" s="38" t="inlineStr">
        <is>
          <t>SEN10</t>
        </is>
      </c>
      <c r="D21" s="38" t="inlineStr">
        <is>
          <t>Planialtimétrico</t>
        </is>
      </c>
      <c r="E21" s="88" t="inlineStr">
        <is>
          <t>Vb</t>
        </is>
      </c>
      <c r="F21" s="39" t="n"/>
      <c r="G21" s="86" t="n"/>
      <c r="H21" s="87">
        <f>G21*F21</f>
        <v/>
      </c>
    </row>
    <row r="22" hidden="1">
      <c r="B22" s="49" t="inlineStr">
        <is>
          <t>Serviços de Engenharia</t>
        </is>
      </c>
      <c r="C22" s="38" t="inlineStr">
        <is>
          <t>SEN11</t>
        </is>
      </c>
      <c r="D22" s="38" t="inlineStr">
        <is>
          <t>Laudo Estrutural (RT) - Sem Vistoria</t>
        </is>
      </c>
      <c r="E22" s="38" t="inlineStr">
        <is>
          <t>Vb</t>
        </is>
      </c>
      <c r="F22" s="39" t="n"/>
      <c r="G22" s="86" t="n"/>
      <c r="H22" s="87">
        <f>G22*F22</f>
        <v/>
      </c>
    </row>
    <row r="23" hidden="1">
      <c r="B23" s="49" t="inlineStr">
        <is>
          <t>Serviços de Engenharia</t>
        </is>
      </c>
      <c r="C23" s="38" t="inlineStr">
        <is>
          <t>SEN12</t>
        </is>
      </c>
      <c r="D23" s="38" t="inlineStr">
        <is>
          <t>Laudo Estrutural (RT) - Com Vistoria</t>
        </is>
      </c>
      <c r="E23" s="88" t="inlineStr">
        <is>
          <t>Vb</t>
        </is>
      </c>
      <c r="F23" s="39" t="n"/>
      <c r="G23" s="86" t="n"/>
      <c r="H23" s="87">
        <f>G23*F23</f>
        <v/>
      </c>
    </row>
    <row r="24" hidden="1">
      <c r="B24" s="49" t="inlineStr">
        <is>
          <t>Fundação / Comum</t>
        </is>
      </c>
      <c r="C24" s="38" t="inlineStr">
        <is>
          <t>FUNC01</t>
        </is>
      </c>
      <c r="D24" s="38" t="inlineStr">
        <is>
          <t xml:space="preserve">Escavação Radier </t>
        </is>
      </c>
      <c r="E24" s="38" t="inlineStr">
        <is>
          <t>m³</t>
        </is>
      </c>
      <c r="F24" s="39" t="n"/>
      <c r="G24" s="86" t="n">
        <v>177.66</v>
      </c>
      <c r="H24" s="87">
        <f>G24*F24</f>
        <v/>
      </c>
    </row>
    <row r="25" hidden="1">
      <c r="B25" s="49" t="inlineStr">
        <is>
          <t>Fundação / Comum</t>
        </is>
      </c>
      <c r="C25" s="38" t="inlineStr">
        <is>
          <t>FUNC02</t>
        </is>
      </c>
      <c r="D25" s="38" t="inlineStr">
        <is>
          <t>Escavação Tubulão</t>
        </is>
      </c>
      <c r="E25" s="88" t="inlineStr">
        <is>
          <t>m³</t>
        </is>
      </c>
      <c r="F25" s="39" t="n"/>
      <c r="G25" s="86" t="n"/>
      <c r="H25" s="87">
        <f>G25*F25</f>
        <v/>
      </c>
    </row>
    <row r="26" hidden="1">
      <c r="B26" s="49" t="inlineStr">
        <is>
          <t>Fundação / Comum</t>
        </is>
      </c>
      <c r="C26" s="38" t="inlineStr">
        <is>
          <t>FUNC03</t>
        </is>
      </c>
      <c r="D26" s="38" t="inlineStr">
        <is>
          <t>Concreto preparado e lançado(fck. conf.projeto)  - Até 20m³</t>
        </is>
      </c>
      <c r="E26" s="38" t="inlineStr">
        <is>
          <t>m³</t>
        </is>
      </c>
      <c r="F26" s="39" t="n"/>
      <c r="G26" s="86" t="n">
        <v>1293.22</v>
      </c>
      <c r="H26" s="87">
        <f>G26*F26</f>
        <v/>
      </c>
    </row>
    <row r="27" hidden="1">
      <c r="B27" s="49" t="inlineStr">
        <is>
          <t>Fundação / Comum</t>
        </is>
      </c>
      <c r="C27" s="38" t="inlineStr">
        <is>
          <t>FUNC04</t>
        </is>
      </c>
      <c r="D27" s="38" t="inlineStr">
        <is>
          <t>Concreto preparado e lançado(fck. conf.projeto)  - 20m³ a 50m³</t>
        </is>
      </c>
      <c r="E27" s="88" t="inlineStr">
        <is>
          <t>m³</t>
        </is>
      </c>
      <c r="F27" s="39" t="n"/>
      <c r="G27" s="86" t="n"/>
      <c r="H27" s="87">
        <f>G27*F27</f>
        <v/>
      </c>
    </row>
    <row r="28" hidden="1">
      <c r="B28" s="49" t="inlineStr">
        <is>
          <t>Fundação / Comum</t>
        </is>
      </c>
      <c r="C28" s="38" t="inlineStr">
        <is>
          <t>FUNC05</t>
        </is>
      </c>
      <c r="D28" s="38" t="inlineStr">
        <is>
          <t>Concreto preparado e lançado(fck. conf.projeto)  - 50m³ a 80m³</t>
        </is>
      </c>
      <c r="E28" s="38" t="inlineStr">
        <is>
          <t>m³</t>
        </is>
      </c>
      <c r="F28" s="39" t="n"/>
      <c r="G28" s="86" t="n"/>
      <c r="H28" s="87">
        <f>G28*F28</f>
        <v/>
      </c>
    </row>
    <row r="29" hidden="1">
      <c r="B29" s="49" t="inlineStr">
        <is>
          <t>Fundação / Comum</t>
        </is>
      </c>
      <c r="C29" s="38" t="inlineStr">
        <is>
          <t>FUNC06</t>
        </is>
      </c>
      <c r="D29" s="38" t="inlineStr">
        <is>
          <t>Concreto preparado e lançado(fck. conf.projeto)  - 80m³ a 100m³</t>
        </is>
      </c>
      <c r="E29" s="88" t="inlineStr">
        <is>
          <t>m³</t>
        </is>
      </c>
      <c r="F29" s="39" t="n"/>
      <c r="G29" s="86" t="n"/>
      <c r="H29" s="87">
        <f>G29*F29</f>
        <v/>
      </c>
    </row>
    <row r="30" hidden="1">
      <c r="B30" s="49" t="inlineStr">
        <is>
          <t>Fundação / Comum</t>
        </is>
      </c>
      <c r="C30" s="38" t="inlineStr">
        <is>
          <t>FUNC07</t>
        </is>
      </c>
      <c r="D30" s="38" t="inlineStr">
        <is>
          <t>Concreto preparado e lançado(fck. conf.projeto)  - Acima de 100m³</t>
        </is>
      </c>
      <c r="E30" s="38" t="inlineStr">
        <is>
          <t>m³</t>
        </is>
      </c>
      <c r="F30" s="39" t="n"/>
      <c r="G30" s="86" t="n"/>
      <c r="H30" s="87">
        <f>G30*F30</f>
        <v/>
      </c>
    </row>
    <row r="31" hidden="1">
      <c r="B31" s="49" t="inlineStr">
        <is>
          <t>Fundação / Comum</t>
        </is>
      </c>
      <c r="C31" s="38" t="inlineStr">
        <is>
          <t>FUNC08</t>
        </is>
      </c>
      <c r="D31" s="38" t="inlineStr">
        <is>
          <t>Reaterro e compactação</t>
        </is>
      </c>
      <c r="E31" s="88" t="inlineStr">
        <is>
          <t>m³</t>
        </is>
      </c>
      <c r="F31" s="39" t="n"/>
      <c r="G31" s="86" t="n">
        <v>121.88</v>
      </c>
      <c r="H31" s="87">
        <f>G31*F31</f>
        <v/>
      </c>
    </row>
    <row r="32" hidden="1">
      <c r="B32" s="49" t="inlineStr">
        <is>
          <t>Fundação / Comum</t>
        </is>
      </c>
      <c r="C32" s="38" t="inlineStr">
        <is>
          <t>FUNC09</t>
        </is>
      </c>
      <c r="D32" s="38" t="inlineStr">
        <is>
          <t>Bota-fora</t>
        </is>
      </c>
      <c r="E32" s="38" t="inlineStr">
        <is>
          <t>m³</t>
        </is>
      </c>
      <c r="F32" s="39" t="n"/>
      <c r="G32" s="86" t="n">
        <v>121.12</v>
      </c>
      <c r="H32" s="87">
        <f>G32*F32</f>
        <v/>
      </c>
    </row>
    <row r="33" hidden="1">
      <c r="B33" s="49" t="inlineStr">
        <is>
          <t>Fundação / Comum</t>
        </is>
      </c>
      <c r="C33" s="38" t="inlineStr">
        <is>
          <t>FUNC10</t>
        </is>
      </c>
      <c r="D33" s="38" t="inlineStr">
        <is>
          <t xml:space="preserve">Forma em tábua de madeira comum </t>
        </is>
      </c>
      <c r="E33" s="88" t="inlineStr">
        <is>
          <t>m²</t>
        </is>
      </c>
      <c r="F33" s="39" t="n"/>
      <c r="G33" s="86" t="n">
        <v>144.05</v>
      </c>
      <c r="H33" s="87">
        <f>G33*F33</f>
        <v/>
      </c>
    </row>
    <row r="34" hidden="1">
      <c r="B34" s="49" t="inlineStr">
        <is>
          <t>Fundação / Comum</t>
        </is>
      </c>
      <c r="C34" s="38" t="inlineStr">
        <is>
          <t>FUNC11</t>
        </is>
      </c>
      <c r="D34" s="38" t="inlineStr">
        <is>
          <t>Aço de fundação (CA 50 / CA 60) para tubulão ou radier</t>
        </is>
      </c>
      <c r="E34" s="38" t="inlineStr">
        <is>
          <t>Kg</t>
        </is>
      </c>
      <c r="F34" s="39" t="n"/>
      <c r="G34" s="86" t="n">
        <v>22.54</v>
      </c>
      <c r="H34" s="87">
        <f>G34*F34</f>
        <v/>
      </c>
    </row>
    <row r="35" hidden="1">
      <c r="B35" s="49" t="inlineStr">
        <is>
          <t>Fundação / Comum</t>
        </is>
      </c>
      <c r="C35" s="38" t="inlineStr">
        <is>
          <t>FUNC12</t>
        </is>
      </c>
      <c r="D35" s="38" t="inlineStr">
        <is>
          <t>Lastro de brita nº 2</t>
        </is>
      </c>
      <c r="E35" s="88" t="inlineStr">
        <is>
          <t>m³</t>
        </is>
      </c>
      <c r="F35" s="39" t="n"/>
      <c r="G35" s="86" t="n">
        <v>300</v>
      </c>
      <c r="H35" s="87">
        <f>G35*F35</f>
        <v/>
      </c>
    </row>
    <row r="36" hidden="1">
      <c r="B36" s="49" t="inlineStr">
        <is>
          <t>Fundação / Comum</t>
        </is>
      </c>
      <c r="C36" s="38" t="inlineStr">
        <is>
          <t>FUNC13</t>
        </is>
      </c>
      <c r="D36" s="38" t="inlineStr">
        <is>
          <t>Concreto magro p/regularização (não estrutural)</t>
        </is>
      </c>
      <c r="E36" s="38" t="inlineStr">
        <is>
          <t>m³</t>
        </is>
      </c>
      <c r="F36" s="39" t="n"/>
      <c r="G36" s="86" t="n">
        <v>641.77</v>
      </c>
      <c r="H36" s="87">
        <f>G36*F36</f>
        <v/>
      </c>
    </row>
    <row r="37" hidden="1">
      <c r="B37" s="49" t="inlineStr">
        <is>
          <t>Fundação / Comum</t>
        </is>
      </c>
      <c r="C37" s="38" t="inlineStr">
        <is>
          <t>FUNC14</t>
        </is>
      </c>
      <c r="D37" s="38" t="inlineStr">
        <is>
          <t>Concreto ciclópico</t>
        </is>
      </c>
      <c r="E37" s="88" t="inlineStr">
        <is>
          <t>m³</t>
        </is>
      </c>
      <c r="F37" s="39" t="n"/>
      <c r="G37" s="86" t="n"/>
      <c r="H37" s="87">
        <f>G37*F37</f>
        <v/>
      </c>
    </row>
    <row r="38" hidden="1">
      <c r="B38" s="49" t="inlineStr">
        <is>
          <t>Fundação / Comum</t>
        </is>
      </c>
      <c r="C38" s="38" t="inlineStr">
        <is>
          <t>FUNC15</t>
        </is>
      </c>
      <c r="D38" s="38" t="inlineStr">
        <is>
          <t>Limpeza e Bota Fora da Estaca Raiz</t>
        </is>
      </c>
      <c r="E38" s="38" t="inlineStr">
        <is>
          <t>Vb</t>
        </is>
      </c>
      <c r="F38" s="39" t="n"/>
      <c r="G38" s="86" t="n"/>
      <c r="H38" s="87">
        <f>G38*F38</f>
        <v/>
      </c>
    </row>
    <row r="39" hidden="1">
      <c r="B39" s="49" t="inlineStr">
        <is>
          <t>Fundação / Comum</t>
        </is>
      </c>
      <c r="C39" s="38" t="inlineStr">
        <is>
          <t>FUNC16</t>
        </is>
      </c>
      <c r="D39" s="38" t="inlineStr">
        <is>
          <t>Encamisamento de Tubulão com manilha de concreto, incluso içamento com munck se necessário</t>
        </is>
      </c>
      <c r="E39" s="38" t="inlineStr">
        <is>
          <t>m</t>
        </is>
      </c>
      <c r="F39" s="39" t="n"/>
      <c r="G39" s="86" t="n"/>
      <c r="H39" s="87">
        <f>G39*F39</f>
        <v/>
      </c>
    </row>
    <row r="40" hidden="1">
      <c r="B40" s="49" t="inlineStr">
        <is>
          <t>Fundação / Estaca Raiz</t>
        </is>
      </c>
      <c r="C40" s="38" t="inlineStr">
        <is>
          <t>FRZ01</t>
        </is>
      </c>
      <c r="D40" s="38" t="inlineStr">
        <is>
          <t>Mobilização perfuratriz - estaca raiz</t>
        </is>
      </c>
      <c r="E40" s="88" t="inlineStr">
        <is>
          <t>un</t>
        </is>
      </c>
      <c r="F40" s="39" t="n"/>
      <c r="G40" s="86" t="n"/>
      <c r="H40" s="87">
        <f>G40*F40</f>
        <v/>
      </c>
    </row>
    <row r="41" hidden="1">
      <c r="B41" s="49" t="inlineStr">
        <is>
          <t>Fundação / Estaca Raiz</t>
        </is>
      </c>
      <c r="C41" s="38" t="inlineStr">
        <is>
          <t>FRZ02</t>
        </is>
      </c>
      <c r="D41" s="38" t="inlineStr">
        <is>
          <t xml:space="preserve">Perfuração + argamassa para estaca raiz (Solo Comum) </t>
        </is>
      </c>
      <c r="E41" s="38" t="inlineStr">
        <is>
          <t>m</t>
        </is>
      </c>
      <c r="F41" s="39" t="n"/>
      <c r="G41" s="86" t="n"/>
      <c r="H41" s="87">
        <f>G41*F41</f>
        <v/>
      </c>
    </row>
    <row r="42" hidden="1">
      <c r="B42" s="49" t="inlineStr">
        <is>
          <t>Fundação / Estaca Raiz</t>
        </is>
      </c>
      <c r="C42" s="38" t="inlineStr">
        <is>
          <t>FRZ03</t>
        </is>
      </c>
      <c r="D42" s="38" t="inlineStr">
        <is>
          <t>Perfuração + argamassa para estaca raiz (Rochoso)</t>
        </is>
      </c>
      <c r="E42" s="88" t="inlineStr">
        <is>
          <t>m</t>
        </is>
      </c>
      <c r="F42" s="39" t="n"/>
      <c r="G42" s="86" t="n"/>
      <c r="H42" s="87">
        <f>G42*F42</f>
        <v/>
      </c>
    </row>
    <row r="43" hidden="1">
      <c r="B43" s="49" t="inlineStr">
        <is>
          <t>Fundação / Estaca Raiz</t>
        </is>
      </c>
      <c r="C43" s="38" t="inlineStr">
        <is>
          <t>FRZ04</t>
        </is>
      </c>
      <c r="D43" s="38" t="inlineStr">
        <is>
          <t>Arame Recozido</t>
        </is>
      </c>
      <c r="E43" s="38" t="inlineStr">
        <is>
          <t>kg</t>
        </is>
      </c>
      <c r="F43" s="39" t="n"/>
      <c r="G43" s="86" t="n"/>
      <c r="H43" s="87">
        <f>G43*F43</f>
        <v/>
      </c>
    </row>
    <row r="44" hidden="1">
      <c r="B44" s="49" t="inlineStr">
        <is>
          <t>Fundação / Estaca Raiz</t>
        </is>
      </c>
      <c r="C44" s="38" t="inlineStr">
        <is>
          <t>FRZ05</t>
        </is>
      </c>
      <c r="D44" s="38" t="inlineStr">
        <is>
          <t>Gerador de Energia</t>
        </is>
      </c>
      <c r="E44" s="88" t="inlineStr">
        <is>
          <t>Vb</t>
        </is>
      </c>
      <c r="F44" s="39" t="n"/>
      <c r="G44" s="86" t="n"/>
      <c r="H44" s="87">
        <f>G44*F44</f>
        <v/>
      </c>
    </row>
    <row r="45" hidden="1">
      <c r="B45" s="49" t="inlineStr">
        <is>
          <t>Fundação / Estaca Raiz</t>
        </is>
      </c>
      <c r="C45" s="38" t="inlineStr">
        <is>
          <t>FRZ06</t>
        </is>
      </c>
      <c r="D45" s="38" t="inlineStr">
        <is>
          <t>Água para estaca-raiz (modalidade fornecimento material)</t>
        </is>
      </c>
      <c r="E45" s="38" t="inlineStr">
        <is>
          <t>m³</t>
        </is>
      </c>
      <c r="F45" s="39" t="n"/>
      <c r="G45" s="86" t="n"/>
      <c r="H45" s="87">
        <f>G45*F45</f>
        <v/>
      </c>
    </row>
    <row r="46" hidden="1">
      <c r="B46" s="49" t="inlineStr">
        <is>
          <t>Fundação / Estaca Raiz</t>
        </is>
      </c>
      <c r="C46" s="38" t="inlineStr">
        <is>
          <t>FRZ07</t>
        </is>
      </c>
      <c r="D46" s="38" t="inlineStr">
        <is>
          <t>Aço de fundação (CA 50 / CA 60) para estacas-raiz, blocos de coroamento e viga de ligação</t>
        </is>
      </c>
      <c r="E46" s="88" t="inlineStr">
        <is>
          <t>Kg</t>
        </is>
      </c>
      <c r="F46" s="39" t="n"/>
      <c r="G46" s="86" t="n"/>
      <c r="H46" s="87">
        <f>G46*F46</f>
        <v/>
      </c>
    </row>
    <row r="47" hidden="1">
      <c r="B47" s="49" t="inlineStr">
        <is>
          <t>Fundação / Estaca Raiz</t>
        </is>
      </c>
      <c r="C47" s="38" t="inlineStr">
        <is>
          <t>FRZ08</t>
        </is>
      </c>
      <c r="D47" s="38" t="inlineStr">
        <is>
          <t>Solda nas Ferragens</t>
        </is>
      </c>
      <c r="E47" s="38" t="inlineStr">
        <is>
          <t>Vb</t>
        </is>
      </c>
      <c r="F47" s="39" t="n"/>
      <c r="G47" s="86" t="n"/>
      <c r="H47" s="87">
        <f>G47*F47</f>
        <v/>
      </c>
    </row>
    <row r="48" hidden="1">
      <c r="B48" s="49" t="inlineStr">
        <is>
          <t>Fechamento</t>
        </is>
      </c>
      <c r="C48" s="38" t="inlineStr">
        <is>
          <t>FEC01</t>
        </is>
      </c>
      <c r="D48" s="38" t="inlineStr">
        <is>
          <t>Tapume h=225cm apoiado no terreno e pintura latex face externa (Quando solicitado pela HL)</t>
        </is>
      </c>
      <c r="E48" s="88" t="inlineStr">
        <is>
          <t>m²</t>
        </is>
      </c>
      <c r="F48" s="39" t="n"/>
      <c r="G48" s="86" t="n"/>
      <c r="H48" s="87">
        <f>G48*F48</f>
        <v/>
      </c>
    </row>
    <row r="49" hidden="1">
      <c r="B49" s="49" t="inlineStr">
        <is>
          <t>Fechamento</t>
        </is>
      </c>
      <c r="C49" s="38" t="inlineStr">
        <is>
          <t>FEC02</t>
        </is>
      </c>
      <c r="D49" s="38" t="inlineStr">
        <is>
          <t>Fechamento - Alambrado c/ Arame farpado</t>
        </is>
      </c>
      <c r="E49" s="38" t="inlineStr">
        <is>
          <t>m²</t>
        </is>
      </c>
      <c r="F49" s="64" t="n"/>
      <c r="G49" s="86" t="n">
        <v>410.31</v>
      </c>
      <c r="H49" s="88">
        <f>G49*F49</f>
        <v/>
      </c>
    </row>
    <row r="50" hidden="1">
      <c r="B50" s="49" t="inlineStr">
        <is>
          <t>Fechamento</t>
        </is>
      </c>
      <c r="C50" s="38" t="inlineStr">
        <is>
          <t>FEC03</t>
        </is>
      </c>
      <c r="D50" s="38" t="inlineStr">
        <is>
          <t>Fechamento - Muro c/ Concertina</t>
        </is>
      </c>
      <c r="E50" s="88" t="inlineStr">
        <is>
          <t>m²</t>
        </is>
      </c>
      <c r="F50" s="39" t="n"/>
      <c r="G50" s="86" t="n"/>
      <c r="H50" s="88">
        <f>G50*F50</f>
        <v/>
      </c>
    </row>
    <row r="51" hidden="1">
      <c r="B51" s="49" t="inlineStr">
        <is>
          <t>Fechamento</t>
        </is>
      </c>
      <c r="C51" s="38" t="inlineStr">
        <is>
          <t>FEC04</t>
        </is>
      </c>
      <c r="D51" s="38" t="inlineStr">
        <is>
          <t>Fechamento - Cerca Paraguaia</t>
        </is>
      </c>
      <c r="E51" s="38" t="inlineStr">
        <is>
          <t>m²</t>
        </is>
      </c>
      <c r="F51" s="39" t="n"/>
      <c r="G51" s="86" t="n"/>
      <c r="H51" s="88">
        <f>G51*F51</f>
        <v/>
      </c>
    </row>
    <row r="52" hidden="1">
      <c r="B52" s="49" t="inlineStr">
        <is>
          <t>Fechamento</t>
        </is>
      </c>
      <c r="C52" s="38" t="inlineStr">
        <is>
          <t>FEC05</t>
        </is>
      </c>
      <c r="D52" s="38" t="inlineStr">
        <is>
          <t>Instalação de concertina sobre alambrado (Quando solicitado pela HL)</t>
        </is>
      </c>
      <c r="E52" s="88" t="inlineStr">
        <is>
          <t>m</t>
        </is>
      </c>
      <c r="F52" s="39" t="n"/>
      <c r="G52" s="86" t="n">
        <v>136</v>
      </c>
      <c r="H52" s="88">
        <f>G52*F52</f>
        <v/>
      </c>
    </row>
    <row r="53" hidden="1">
      <c r="B53" s="49" t="inlineStr">
        <is>
          <t>Fechamento</t>
        </is>
      </c>
      <c r="C53" s="38" t="inlineStr">
        <is>
          <t>FEC06</t>
        </is>
      </c>
      <c r="D53" s="38" t="inlineStr">
        <is>
          <t>1/2 Folha Portão - Alambrado</t>
        </is>
      </c>
      <c r="E53" s="38" t="inlineStr">
        <is>
          <t>un</t>
        </is>
      </c>
      <c r="F53" s="39" t="n"/>
      <c r="G53" s="86" t="n">
        <v>3980</v>
      </c>
      <c r="H53" s="88">
        <f>G53*F53</f>
        <v/>
      </c>
    </row>
    <row r="54" hidden="1">
      <c r="B54" s="49" t="inlineStr">
        <is>
          <t>Fechamento</t>
        </is>
      </c>
      <c r="C54" s="38" t="inlineStr">
        <is>
          <t>FEC07</t>
        </is>
      </c>
      <c r="D54" s="38" t="inlineStr">
        <is>
          <t>1/2 Folha Portão - Chapa</t>
        </is>
      </c>
      <c r="E54" s="88" t="inlineStr">
        <is>
          <t>un</t>
        </is>
      </c>
      <c r="F54" s="39" t="n"/>
      <c r="G54" s="86" t="n"/>
      <c r="H54" s="88">
        <f>G54*F54</f>
        <v/>
      </c>
    </row>
    <row r="55" hidden="1">
      <c r="B55" s="49" t="inlineStr">
        <is>
          <t>Fechamento</t>
        </is>
      </c>
      <c r="C55" s="38" t="inlineStr">
        <is>
          <t>FEC08</t>
        </is>
      </c>
      <c r="D55" s="38" t="inlineStr">
        <is>
          <t>Portão - Alambrado</t>
        </is>
      </c>
      <c r="E55" s="38" t="inlineStr">
        <is>
          <t>un</t>
        </is>
      </c>
      <c r="F55" s="39" t="n"/>
      <c r="G55" s="86" t="n"/>
      <c r="H55" s="88">
        <f>G55*F55</f>
        <v/>
      </c>
    </row>
    <row r="56" hidden="1">
      <c r="B56" s="49" t="inlineStr">
        <is>
          <t>Fechamento</t>
        </is>
      </c>
      <c r="C56" s="38" t="inlineStr">
        <is>
          <t>FEC09</t>
        </is>
      </c>
      <c r="D56" s="38" t="inlineStr">
        <is>
          <t>Portão - Chapa</t>
        </is>
      </c>
      <c r="E56" s="88" t="inlineStr">
        <is>
          <t>un</t>
        </is>
      </c>
      <c r="F56" s="39" t="n"/>
      <c r="G56" s="86" t="n"/>
      <c r="H56" s="88">
        <f>G56*F56</f>
        <v/>
      </c>
    </row>
    <row r="57" hidden="1">
      <c r="B57" s="49" t="inlineStr">
        <is>
          <t>Fechamento</t>
        </is>
      </c>
      <c r="C57" s="38" t="inlineStr">
        <is>
          <t>FEC10</t>
        </is>
      </c>
      <c r="D57" s="38" t="inlineStr">
        <is>
          <t>Portão para pedestre - Alambrado</t>
        </is>
      </c>
      <c r="E57" s="38" t="inlineStr">
        <is>
          <t>un</t>
        </is>
      </c>
      <c r="F57" s="39" t="n"/>
      <c r="G57" s="86" t="n">
        <v>3003.23</v>
      </c>
      <c r="H57" s="88">
        <f>G57*F57</f>
        <v/>
      </c>
    </row>
    <row r="58" hidden="1">
      <c r="B58" s="49" t="inlineStr">
        <is>
          <t>Fechamento</t>
        </is>
      </c>
      <c r="C58" s="38" t="inlineStr">
        <is>
          <t>FEC12</t>
        </is>
      </c>
      <c r="D58" s="38" t="inlineStr">
        <is>
          <t>Cadeado MULT-LOCK com corrente</t>
        </is>
      </c>
      <c r="E58" s="88" t="inlineStr">
        <is>
          <t>un</t>
        </is>
      </c>
      <c r="F58" s="39" t="n"/>
      <c r="G58" s="86" t="n"/>
      <c r="H58" s="88">
        <f>G58*F58</f>
        <v/>
      </c>
    </row>
    <row r="59" hidden="1">
      <c r="B59" s="49" t="inlineStr">
        <is>
          <t>Fechamento</t>
        </is>
      </c>
      <c r="C59" s="38" t="inlineStr">
        <is>
          <t>FEC13</t>
        </is>
      </c>
      <c r="D59" s="38" t="inlineStr">
        <is>
          <t>Cadeado com segredo com corrente</t>
        </is>
      </c>
      <c r="E59" s="38" t="inlineStr">
        <is>
          <t>un</t>
        </is>
      </c>
      <c r="F59" s="39" t="n"/>
      <c r="G59" s="86" t="n"/>
      <c r="H59" s="88">
        <f>G59*F59</f>
        <v/>
      </c>
    </row>
    <row r="60" hidden="1">
      <c r="B60" s="49" t="inlineStr">
        <is>
          <t>Área Construída</t>
        </is>
      </c>
      <c r="C60" s="38" t="inlineStr">
        <is>
          <t>CON01</t>
        </is>
      </c>
      <c r="D60" s="38" t="inlineStr">
        <is>
          <t>Execução de passeio com guia e Sarjeta</t>
        </is>
      </c>
      <c r="E60" s="88" t="inlineStr">
        <is>
          <t>m²</t>
        </is>
      </c>
      <c r="F60" s="39" t="n"/>
      <c r="G60" s="86" t="n"/>
      <c r="H60" s="89">
        <f>G60*F60</f>
        <v/>
      </c>
    </row>
    <row r="61" hidden="1">
      <c r="B61" s="49" t="inlineStr">
        <is>
          <t>Área Construída</t>
        </is>
      </c>
      <c r="C61" s="38" t="inlineStr">
        <is>
          <t>CON02</t>
        </is>
      </c>
      <c r="D61" s="38" t="inlineStr">
        <is>
          <t>Lona preta 200 micras</t>
        </is>
      </c>
      <c r="E61" s="38" t="inlineStr">
        <is>
          <t>m²</t>
        </is>
      </c>
      <c r="F61" s="39" t="n"/>
      <c r="G61" s="86" t="n"/>
      <c r="H61" s="88">
        <f>G61*F61</f>
        <v/>
      </c>
    </row>
    <row r="62" hidden="1">
      <c r="B62" s="49" t="inlineStr">
        <is>
          <t>Área Construída</t>
        </is>
      </c>
      <c r="C62" s="38" t="inlineStr">
        <is>
          <t>CON03</t>
        </is>
      </c>
      <c r="D62" s="38" t="inlineStr">
        <is>
          <t xml:space="preserve">Pedra Brita Nº 2  </t>
        </is>
      </c>
      <c r="E62" s="88" t="inlineStr">
        <is>
          <t>m³</t>
        </is>
      </c>
      <c r="F62" s="39" t="n"/>
      <c r="G62" s="86" t="n">
        <v>450</v>
      </c>
      <c r="H62" s="88">
        <f>G62*F62</f>
        <v/>
      </c>
    </row>
    <row r="63">
      <c r="B63" s="49" t="inlineStr">
        <is>
          <t>Área Construída</t>
        </is>
      </c>
      <c r="C63" s="38" t="inlineStr">
        <is>
          <t>CON04</t>
        </is>
      </c>
      <c r="D63" s="38" t="inlineStr">
        <is>
          <t>Caixa de passagem para instalações elétricas</t>
        </is>
      </c>
      <c r="E63" s="38" t="inlineStr">
        <is>
          <t>un</t>
        </is>
      </c>
      <c r="F63" s="63" t="n"/>
      <c r="G63" s="86" t="n">
        <v>907.6900000000001</v>
      </c>
      <c r="H63" s="88">
        <f>G63*F63</f>
        <v/>
      </c>
    </row>
    <row r="64">
      <c r="B64" s="49" t="inlineStr">
        <is>
          <t>Área Construída</t>
        </is>
      </c>
      <c r="C64" s="38" t="inlineStr">
        <is>
          <t>CON06</t>
        </is>
      </c>
      <c r="D64" s="38" t="inlineStr">
        <is>
          <t>Base de equipamento em concreto armado</t>
        </is>
      </c>
      <c r="E64" s="88" t="inlineStr">
        <is>
          <t>m³</t>
        </is>
      </c>
      <c r="F64" s="64" t="n"/>
      <c r="G64" s="86" t="n">
        <v>3530.43</v>
      </c>
      <c r="H64" s="88">
        <f>G64*F64</f>
        <v/>
      </c>
    </row>
    <row r="65" hidden="1">
      <c r="B65" s="49" t="inlineStr">
        <is>
          <t>Área Construída</t>
        </is>
      </c>
      <c r="C65" s="38" t="inlineStr">
        <is>
          <t>CON07</t>
        </is>
      </c>
      <c r="D65" s="38" t="inlineStr">
        <is>
          <t>Skid metálico (galvanizado à fogo)</t>
        </is>
      </c>
      <c r="E65" s="38" t="inlineStr">
        <is>
          <t>Kg</t>
        </is>
      </c>
      <c r="F65" s="63" t="n"/>
      <c r="G65" s="86" t="n">
        <v>54.24</v>
      </c>
      <c r="H65" s="88">
        <f>G65*F65</f>
        <v/>
      </c>
    </row>
    <row r="66" hidden="1">
      <c r="B66" s="49" t="inlineStr">
        <is>
          <t>Área Construída</t>
        </is>
      </c>
      <c r="C66" s="38" t="inlineStr">
        <is>
          <t>CON08</t>
        </is>
      </c>
      <c r="D66" s="38" t="inlineStr">
        <is>
          <t>Adequação/Alvenaria - Em muro existente</t>
        </is>
      </c>
      <c r="E66" s="88" t="inlineStr">
        <is>
          <t>m²</t>
        </is>
      </c>
      <c r="F66" s="39" t="n"/>
      <c r="G66" s="86" t="n"/>
      <c r="H66" s="88">
        <f>G66*F66</f>
        <v/>
      </c>
    </row>
    <row r="67" hidden="1">
      <c r="B67" s="49" t="inlineStr">
        <is>
          <t>Área Construída</t>
        </is>
      </c>
      <c r="C67" s="38" t="inlineStr">
        <is>
          <t>CON09</t>
        </is>
      </c>
      <c r="D67" s="38" t="inlineStr">
        <is>
          <t>Chapisco de muro - Em muro existente</t>
        </is>
      </c>
      <c r="E67" s="38" t="inlineStr">
        <is>
          <t>m²</t>
        </is>
      </c>
      <c r="F67" s="39" t="n"/>
      <c r="G67" s="86" t="n"/>
      <c r="H67" s="88">
        <f>G67*F67</f>
        <v/>
      </c>
    </row>
    <row r="68" hidden="1">
      <c r="B68" s="49" t="inlineStr">
        <is>
          <t>Área Construída</t>
        </is>
      </c>
      <c r="C68" s="38" t="inlineStr">
        <is>
          <t>CON10</t>
        </is>
      </c>
      <c r="D68" s="38" t="inlineStr">
        <is>
          <t>Demolição de muro existente</t>
        </is>
      </c>
      <c r="E68" s="88" t="inlineStr">
        <is>
          <t>m²</t>
        </is>
      </c>
      <c r="F68" s="39" t="n"/>
      <c r="G68" s="86" t="n">
        <v>143</v>
      </c>
      <c r="H68" s="88">
        <f>G68*F68</f>
        <v/>
      </c>
    </row>
    <row r="69" hidden="1">
      <c r="B69" s="49" t="inlineStr">
        <is>
          <t>Área Construída</t>
        </is>
      </c>
      <c r="C69" s="38" t="inlineStr">
        <is>
          <t>CON11</t>
        </is>
      </c>
      <c r="D69" s="38" t="inlineStr">
        <is>
          <t xml:space="preserve">Muro de arrimo </t>
        </is>
      </c>
      <c r="E69" s="38" t="inlineStr">
        <is>
          <t>m²</t>
        </is>
      </c>
      <c r="F69" s="39" t="n"/>
      <c r="G69" s="86" t="n"/>
      <c r="H69" s="88">
        <f>G69*F69</f>
        <v/>
      </c>
    </row>
    <row r="70" hidden="1">
      <c r="B70" s="49" t="inlineStr">
        <is>
          <t>Área Construída</t>
        </is>
      </c>
      <c r="C70" s="38" t="inlineStr">
        <is>
          <t>CON12</t>
        </is>
      </c>
      <c r="D70" s="38" t="inlineStr">
        <is>
          <t>Execução de Muro em Alvenaria</t>
        </is>
      </c>
      <c r="E70" s="88" t="inlineStr">
        <is>
          <t>m²</t>
        </is>
      </c>
      <c r="F70" s="39" t="n"/>
      <c r="G70" s="86" t="n"/>
      <c r="H70" s="88">
        <f>G70*F70</f>
        <v/>
      </c>
    </row>
    <row r="71">
      <c r="B71" s="49" t="inlineStr">
        <is>
          <t>Área Construída</t>
        </is>
      </c>
      <c r="C71" s="38" t="inlineStr">
        <is>
          <t>CON13</t>
        </is>
      </c>
      <c r="D71" s="38" t="inlineStr">
        <is>
          <t xml:space="preserve">Conector FCI Barra - Para esteira </t>
        </is>
      </c>
      <c r="E71" s="38" t="inlineStr">
        <is>
          <t>un</t>
        </is>
      </c>
      <c r="F71" s="64" t="n"/>
      <c r="G71" s="86" t="n">
        <v>187.02</v>
      </c>
      <c r="H71" s="88">
        <f>G71*F71</f>
        <v/>
      </c>
    </row>
    <row r="72">
      <c r="B72" s="49" t="inlineStr">
        <is>
          <t>Energia / Entrada de Energia</t>
        </is>
      </c>
      <c r="C72" s="38" t="inlineStr">
        <is>
          <t>ENT01</t>
        </is>
      </c>
      <c r="D72" s="38" t="inlineStr">
        <is>
          <t>QD/ QTM - Com Alvenaria (Padrão Claro)</t>
        </is>
      </c>
      <c r="E72" s="88" t="inlineStr">
        <is>
          <t>un</t>
        </is>
      </c>
      <c r="F72" s="63" t="n"/>
      <c r="G72" s="86" t="n">
        <v>12748.5</v>
      </c>
      <c r="H72" s="88">
        <f>G72*F72</f>
        <v/>
      </c>
    </row>
    <row r="73" hidden="1">
      <c r="B73" s="49" t="inlineStr">
        <is>
          <t>Energia / Entrada de Energia</t>
        </is>
      </c>
      <c r="C73" s="38" t="inlineStr">
        <is>
          <t>ENT02</t>
        </is>
      </c>
      <c r="D73" s="38" t="inlineStr">
        <is>
          <t xml:space="preserve">QD/ QTM - Com Alvenaria (Padrão Vivo) </t>
        </is>
      </c>
      <c r="E73" s="38" t="inlineStr">
        <is>
          <t>un</t>
        </is>
      </c>
      <c r="F73" s="62" t="n"/>
      <c r="G73" s="86" t="n">
        <v>13353.28</v>
      </c>
      <c r="H73" s="88">
        <f>G73*F73</f>
        <v/>
      </c>
    </row>
    <row r="74" hidden="1">
      <c r="B74" s="49" t="inlineStr">
        <is>
          <t>Energia / Entrada de Energia</t>
        </is>
      </c>
      <c r="C74" s="38" t="inlineStr">
        <is>
          <t>ENT03</t>
        </is>
      </c>
      <c r="D74" s="38" t="inlineStr">
        <is>
          <t>QD/ QTM - Com Alvenaria (Padrão Tim)</t>
        </is>
      </c>
      <c r="E74" s="88" t="inlineStr">
        <is>
          <t>un</t>
        </is>
      </c>
      <c r="F74" s="39" t="n"/>
      <c r="G74" s="86" t="n">
        <v>13496.95</v>
      </c>
      <c r="H74" s="88" t="n"/>
    </row>
    <row r="75" hidden="1">
      <c r="B75" s="49" t="inlineStr">
        <is>
          <t>Energia / Entrada de Energia</t>
        </is>
      </c>
      <c r="C75" s="38" t="inlineStr">
        <is>
          <t>ENT02</t>
        </is>
      </c>
      <c r="D75" s="38" t="inlineStr">
        <is>
          <t xml:space="preserve">Suporte para QD/ QTM </t>
        </is>
      </c>
      <c r="E75" s="38" t="inlineStr">
        <is>
          <t>un</t>
        </is>
      </c>
      <c r="F75" s="39" t="n"/>
      <c r="G75" s="86" t="n">
        <v>1239.5</v>
      </c>
      <c r="H75" s="88" t="n"/>
    </row>
    <row r="76">
      <c r="B76" s="49" t="inlineStr">
        <is>
          <t>Energia / Entrada de Energia</t>
        </is>
      </c>
      <c r="C76" s="38" t="inlineStr">
        <is>
          <t>ENT03</t>
        </is>
      </c>
      <c r="D76" s="38" t="inlineStr">
        <is>
          <t>Grade para medidor</t>
        </is>
      </c>
      <c r="E76" s="88" t="inlineStr">
        <is>
          <t>un</t>
        </is>
      </c>
      <c r="F76" s="64" t="n"/>
      <c r="G76" s="86" t="n">
        <v>1304.35</v>
      </c>
      <c r="H76" s="88">
        <f>G76*F76</f>
        <v/>
      </c>
    </row>
    <row r="77">
      <c r="B77" s="49" t="inlineStr">
        <is>
          <t>Energia / Entrada de Energia</t>
        </is>
      </c>
      <c r="C77" s="38" t="inlineStr">
        <is>
          <t>ENT04</t>
        </is>
      </c>
      <c r="D77" s="38" t="inlineStr">
        <is>
          <t>Tomada Steck</t>
        </is>
      </c>
      <c r="E77" s="38" t="inlineStr">
        <is>
          <t>un</t>
        </is>
      </c>
      <c r="F77" s="63" t="n"/>
      <c r="G77" s="86" t="n">
        <v>353</v>
      </c>
      <c r="H77" s="88">
        <f>G77*F77</f>
        <v/>
      </c>
    </row>
    <row r="78" hidden="1">
      <c r="B78" s="49" t="inlineStr">
        <is>
          <t>Energia / Entrada de Energia</t>
        </is>
      </c>
      <c r="C78" s="38" t="inlineStr">
        <is>
          <t>ENT05</t>
        </is>
      </c>
      <c r="D78" s="38" t="inlineStr">
        <is>
          <t>Padrão novo para 1 medidor - Com ligação definitiva</t>
        </is>
      </c>
      <c r="E78" s="88" t="inlineStr">
        <is>
          <t>un</t>
        </is>
      </c>
      <c r="F78" s="39" t="n"/>
      <c r="G78" s="86" t="n">
        <v>7540.5</v>
      </c>
      <c r="H78" s="89">
        <f>G78*F78</f>
        <v/>
      </c>
    </row>
    <row r="79" hidden="1">
      <c r="B79" s="49" t="inlineStr">
        <is>
          <t>Energia / Entrada de Energia</t>
        </is>
      </c>
      <c r="C79" s="38" t="inlineStr">
        <is>
          <t>ENT06</t>
        </is>
      </c>
      <c r="D79" s="38" t="inlineStr">
        <is>
          <t>Padrão novo para 2 medidores - Com ligação definitiva</t>
        </is>
      </c>
      <c r="E79" s="38" t="inlineStr">
        <is>
          <t>un</t>
        </is>
      </c>
      <c r="F79" s="39" t="n"/>
      <c r="G79" s="86" t="n">
        <v>8223.75</v>
      </c>
      <c r="H79" s="88">
        <f>G79*F79</f>
        <v/>
      </c>
    </row>
    <row r="80">
      <c r="B80" s="49" t="inlineStr">
        <is>
          <t>Energia / Entrada de Energia</t>
        </is>
      </c>
      <c r="C80" s="38" t="inlineStr">
        <is>
          <t>ENT07</t>
        </is>
      </c>
      <c r="D80" s="38" t="inlineStr">
        <is>
          <t>Ampliação do padrão de 1 para 2 medidores - Com ligação definitiva</t>
        </is>
      </c>
      <c r="E80" s="88" t="inlineStr">
        <is>
          <t>un</t>
        </is>
      </c>
      <c r="F80" s="64" t="n"/>
      <c r="G80" s="86" t="n">
        <v>8806.459999999999</v>
      </c>
      <c r="H80" s="88">
        <f>G80*F80</f>
        <v/>
      </c>
    </row>
    <row r="81" hidden="1">
      <c r="B81" s="49" t="inlineStr">
        <is>
          <t>Energia / Entrada de Energia</t>
        </is>
      </c>
      <c r="C81" s="38" t="inlineStr">
        <is>
          <t>ENT08</t>
        </is>
      </c>
      <c r="D81" s="38" t="inlineStr">
        <is>
          <t xml:space="preserve">Ampliação do padrão de 2 para 3 medidores - Com ligação definitiva </t>
        </is>
      </c>
      <c r="E81" s="38" t="inlineStr">
        <is>
          <t>un</t>
        </is>
      </c>
      <c r="F81" s="39" t="n"/>
      <c r="G81" s="86" t="n">
        <v>9164.68</v>
      </c>
      <c r="H81" s="88">
        <f>G81*F81</f>
        <v/>
      </c>
    </row>
    <row r="82" hidden="1">
      <c r="B82" s="49" t="inlineStr">
        <is>
          <t>Energia / Entrada de Energia</t>
        </is>
      </c>
      <c r="C82" s="38" t="inlineStr">
        <is>
          <t>ENT09</t>
        </is>
      </c>
      <c r="D82" s="38" t="inlineStr">
        <is>
          <t xml:space="preserve">Ampliação do padrão de 3 para 4 medidores - Com ligação definitiva </t>
        </is>
      </c>
      <c r="E82" s="88" t="inlineStr">
        <is>
          <t>un</t>
        </is>
      </c>
      <c r="F82" s="39" t="n"/>
      <c r="G82" s="86" t="n"/>
      <c r="H82" s="88">
        <f>G82*F82</f>
        <v/>
      </c>
    </row>
    <row r="83" hidden="1">
      <c r="B83" s="49" t="inlineStr">
        <is>
          <t>Energia / Entrada de Energia</t>
        </is>
      </c>
      <c r="C83" s="38" t="inlineStr">
        <is>
          <t>ENT10</t>
        </is>
      </c>
      <c r="D83" s="38" t="inlineStr">
        <is>
          <t xml:space="preserve">Ampliação do padrão de 2 para 4 medidores - Com ligação definitiva </t>
        </is>
      </c>
      <c r="E83" s="38" t="inlineStr">
        <is>
          <t>un</t>
        </is>
      </c>
      <c r="F83" s="39" t="n"/>
      <c r="G83" s="86" t="n"/>
      <c r="H83" s="88">
        <f>G83*F83</f>
        <v/>
      </c>
    </row>
    <row r="84" hidden="1">
      <c r="B84" s="49" t="inlineStr">
        <is>
          <t>Energia / Entrada de Energia</t>
        </is>
      </c>
      <c r="C84" s="38" t="inlineStr">
        <is>
          <t>ENT11</t>
        </is>
      </c>
      <c r="D84" s="38" t="inlineStr">
        <is>
          <t>Projeto de ampliação do padrão - Memorial, carta de aprovação e ART</t>
        </is>
      </c>
      <c r="E84" s="88" t="inlineStr">
        <is>
          <t>un</t>
        </is>
      </c>
      <c r="F84" s="39" t="n"/>
      <c r="G84" s="86" t="n"/>
      <c r="H84" s="88">
        <f>G84*F84</f>
        <v/>
      </c>
    </row>
    <row r="85" hidden="1">
      <c r="B85" s="49" t="inlineStr">
        <is>
          <t>Energia / Entrada de Energia</t>
        </is>
      </c>
      <c r="C85" s="38" t="inlineStr">
        <is>
          <t>ENT12</t>
        </is>
      </c>
      <c r="D85" s="38" t="inlineStr">
        <is>
          <t>Cabo Cobre Isolado EPR-06/1KV # 4mm²</t>
        </is>
      </c>
      <c r="E85" s="88" t="inlineStr">
        <is>
          <t>m</t>
        </is>
      </c>
      <c r="F85" s="39" t="n"/>
      <c r="G85" s="86" t="n"/>
      <c r="H85" s="88">
        <f>G85*F85</f>
        <v/>
      </c>
    </row>
    <row r="86">
      <c r="B86" s="49" t="inlineStr">
        <is>
          <t>Energia / Entrada de Energia</t>
        </is>
      </c>
      <c r="C86" s="38" t="inlineStr">
        <is>
          <t>ENT13</t>
        </is>
      </c>
      <c r="D86" s="38" t="inlineStr">
        <is>
          <t>Eletroduto Corrugado Tipo KANAFLEX Ø 1"</t>
        </is>
      </c>
      <c r="E86" s="88" t="inlineStr">
        <is>
          <t>m</t>
        </is>
      </c>
      <c r="F86" s="63" t="n"/>
      <c r="G86" s="86" t="n">
        <v>25</v>
      </c>
      <c r="H86" s="88">
        <f>G86*F86</f>
        <v/>
      </c>
    </row>
    <row r="87">
      <c r="B87" s="49" t="inlineStr">
        <is>
          <t>Energia / Entrada de Energia</t>
        </is>
      </c>
      <c r="C87" s="38" t="inlineStr">
        <is>
          <t>ENT14</t>
        </is>
      </c>
      <c r="D87" s="38" t="inlineStr">
        <is>
          <t>Eletroduto Corrugado Tipo KANAFLEX Ø 2"</t>
        </is>
      </c>
      <c r="E87" s="88" t="inlineStr">
        <is>
          <t>m</t>
        </is>
      </c>
      <c r="F87" s="64" t="n"/>
      <c r="G87" s="86" t="n">
        <v>34.91</v>
      </c>
      <c r="H87" s="88">
        <f>G87*F87</f>
        <v/>
      </c>
    </row>
    <row r="88">
      <c r="B88" s="49" t="inlineStr">
        <is>
          <t>Energia / Infra - Site</t>
        </is>
      </c>
      <c r="C88" s="38" t="inlineStr">
        <is>
          <t>INFR01</t>
        </is>
      </c>
      <c r="D88" s="38" t="inlineStr">
        <is>
          <t>Malha de aterramento</t>
        </is>
      </c>
      <c r="E88" s="38" t="inlineStr">
        <is>
          <t>m</t>
        </is>
      </c>
      <c r="F88" s="63" t="n"/>
      <c r="G88" s="90" t="n">
        <v>306.11</v>
      </c>
      <c r="H88" s="88">
        <f>G88*F88</f>
        <v/>
      </c>
    </row>
    <row r="89" hidden="1">
      <c r="B89" s="49" t="inlineStr">
        <is>
          <t>Energia / Infra - Site</t>
        </is>
      </c>
      <c r="C89" s="38" t="inlineStr">
        <is>
          <t>INFR02</t>
        </is>
      </c>
      <c r="D89" s="38" t="inlineStr">
        <is>
          <t>Seal Tube 1''</t>
        </is>
      </c>
      <c r="E89" s="88" t="inlineStr">
        <is>
          <t>m</t>
        </is>
      </c>
      <c r="F89" s="39" t="n"/>
      <c r="G89" s="86" t="n"/>
      <c r="H89" s="88">
        <f>G89*F89</f>
        <v/>
      </c>
    </row>
    <row r="90" hidden="1">
      <c r="B90" s="49" t="inlineStr">
        <is>
          <t>Energia / Infra - Site</t>
        </is>
      </c>
      <c r="C90" s="38" t="inlineStr">
        <is>
          <t>INFR03</t>
        </is>
      </c>
      <c r="D90" s="38" t="inlineStr">
        <is>
          <t>Seal Tube 2''</t>
        </is>
      </c>
      <c r="E90" s="38" t="inlineStr">
        <is>
          <t>m</t>
        </is>
      </c>
      <c r="F90" s="39" t="n"/>
      <c r="G90" s="86" t="n"/>
      <c r="H90" s="88">
        <f>G90*F90</f>
        <v/>
      </c>
    </row>
    <row r="91" hidden="1">
      <c r="B91" s="49" t="inlineStr">
        <is>
          <t>Energia / Infra - Site</t>
        </is>
      </c>
      <c r="C91" s="38" t="inlineStr">
        <is>
          <t>INFR04</t>
        </is>
      </c>
      <c r="D91" s="38" t="inlineStr">
        <is>
          <t>Tubulação 1" Galvanizada à fogo</t>
        </is>
      </c>
      <c r="E91" s="88" t="inlineStr">
        <is>
          <t>m</t>
        </is>
      </c>
      <c r="F91" s="39" t="n"/>
      <c r="G91" s="86" t="n">
        <v>55</v>
      </c>
      <c r="H91" s="88">
        <f>G91*F91</f>
        <v/>
      </c>
    </row>
    <row r="92" hidden="1">
      <c r="B92" s="49" t="inlineStr">
        <is>
          <t>Energia / Infra - Site</t>
        </is>
      </c>
      <c r="C92" s="38" t="inlineStr">
        <is>
          <t>INFR05</t>
        </is>
      </c>
      <c r="D92" s="38" t="inlineStr">
        <is>
          <t>Tubulação 2" Galvanizada à fogo</t>
        </is>
      </c>
      <c r="E92" s="38" t="inlineStr">
        <is>
          <t>m</t>
        </is>
      </c>
      <c r="F92" s="39" t="n"/>
      <c r="G92" s="90" t="n">
        <v>99.39</v>
      </c>
      <c r="H92" s="88">
        <f>G92*F92</f>
        <v/>
      </c>
    </row>
    <row r="93" hidden="1">
      <c r="B93" s="49" t="inlineStr">
        <is>
          <t>Energia / Infra - Site</t>
        </is>
      </c>
      <c r="C93" s="38" t="inlineStr">
        <is>
          <t>INFR06</t>
        </is>
      </c>
      <c r="D93" s="38" t="inlineStr">
        <is>
          <t>Tubulação 3" Galvanizada à fogo</t>
        </is>
      </c>
      <c r="E93" s="88" t="inlineStr">
        <is>
          <t>m</t>
        </is>
      </c>
      <c r="F93" s="39" t="n"/>
      <c r="G93" s="86" t="n"/>
      <c r="H93" s="88">
        <f>G93*F93</f>
        <v/>
      </c>
    </row>
    <row r="94" hidden="1">
      <c r="B94" s="49" t="inlineStr">
        <is>
          <t>Energia / Infra - Site</t>
        </is>
      </c>
      <c r="C94" s="38" t="inlineStr">
        <is>
          <t>INFR07</t>
        </is>
      </c>
      <c r="D94" s="38" t="inlineStr">
        <is>
          <t>Tubulação 1" PVC</t>
        </is>
      </c>
      <c r="E94" s="38" t="inlineStr">
        <is>
          <t>m</t>
        </is>
      </c>
      <c r="F94" s="39" t="n"/>
      <c r="G94" s="86" t="n">
        <v>50.31</v>
      </c>
      <c r="H94" s="88">
        <f>G94*F94</f>
        <v/>
      </c>
    </row>
    <row r="95" hidden="1">
      <c r="B95" s="49" t="inlineStr">
        <is>
          <t>Energia / Infra - Site</t>
        </is>
      </c>
      <c r="C95" s="38" t="inlineStr">
        <is>
          <t>INFR08</t>
        </is>
      </c>
      <c r="D95" s="38" t="inlineStr">
        <is>
          <t>Tubulação 2" PVC</t>
        </is>
      </c>
      <c r="E95" s="88" t="inlineStr">
        <is>
          <t>m</t>
        </is>
      </c>
      <c r="F95" s="39" t="n"/>
      <c r="G95" s="86" t="n">
        <v>112</v>
      </c>
      <c r="H95" s="88">
        <f>G95*F95</f>
        <v/>
      </c>
    </row>
    <row r="96" hidden="1">
      <c r="B96" s="49" t="inlineStr">
        <is>
          <t>Energia / Infra - Site</t>
        </is>
      </c>
      <c r="C96" s="38" t="inlineStr">
        <is>
          <t>INFR09</t>
        </is>
      </c>
      <c r="D96" s="38" t="inlineStr">
        <is>
          <t>Cabo Multiplex Alum - 4 vias 35mm</t>
        </is>
      </c>
      <c r="E96" s="38" t="inlineStr">
        <is>
          <t>m</t>
        </is>
      </c>
      <c r="F96" s="39" t="n"/>
      <c r="G96" s="86" t="n"/>
      <c r="H96" s="89">
        <f>G96*F96</f>
        <v/>
      </c>
    </row>
    <row r="97" hidden="1">
      <c r="B97" s="49" t="inlineStr">
        <is>
          <t>Energia / Infra - Site</t>
        </is>
      </c>
      <c r="C97" s="38" t="inlineStr">
        <is>
          <t>INFR10</t>
        </is>
      </c>
      <c r="D97" s="38" t="inlineStr">
        <is>
          <t>Cabo flexível #10mm² isol. 750V - qualquer cor</t>
        </is>
      </c>
      <c r="E97" s="88" t="inlineStr">
        <is>
          <t>m</t>
        </is>
      </c>
      <c r="F97" s="39" t="n"/>
      <c r="G97" s="86" t="n"/>
      <c r="H97" s="88">
        <f>G97*F97</f>
        <v/>
      </c>
    </row>
    <row r="98" hidden="1">
      <c r="B98" s="49" t="inlineStr">
        <is>
          <t>Energia / Infra - Site</t>
        </is>
      </c>
      <c r="C98" s="38" t="inlineStr">
        <is>
          <t>INFR11</t>
        </is>
      </c>
      <c r="D98" s="38" t="inlineStr">
        <is>
          <t>Cabo flexível #25mm² isol. 750V - qualquer cor</t>
        </is>
      </c>
      <c r="E98" s="38" t="inlineStr">
        <is>
          <t>m</t>
        </is>
      </c>
      <c r="F98" s="39" t="n"/>
      <c r="G98" s="86" t="n">
        <v>51.26</v>
      </c>
      <c r="H98" s="88">
        <f>G98*F98</f>
        <v/>
      </c>
    </row>
    <row r="99" hidden="1">
      <c r="B99" s="49" t="inlineStr">
        <is>
          <t>Energia / Infra - Site</t>
        </is>
      </c>
      <c r="C99" s="38" t="inlineStr">
        <is>
          <t>INFR12</t>
        </is>
      </c>
      <c r="D99" s="38" t="inlineStr">
        <is>
          <t>Cabo flexível #35mm² isol. 750V - qualquer cor</t>
        </is>
      </c>
      <c r="E99" s="88" t="inlineStr">
        <is>
          <t>m</t>
        </is>
      </c>
      <c r="F99" s="39" t="n"/>
      <c r="G99" s="86" t="n">
        <v>76.27</v>
      </c>
      <c r="H99" s="88">
        <f>G99*F99</f>
        <v/>
      </c>
    </row>
    <row r="100" hidden="1">
      <c r="B100" s="49" t="inlineStr">
        <is>
          <t>Energia / Infra - Site</t>
        </is>
      </c>
      <c r="C100" s="38" t="inlineStr">
        <is>
          <t>INFR13</t>
        </is>
      </c>
      <c r="D100" s="38" t="inlineStr">
        <is>
          <t>Cabo flexível #50mm² isol. 750V - qualquer cor</t>
        </is>
      </c>
      <c r="E100" s="38" t="inlineStr">
        <is>
          <t>m</t>
        </is>
      </c>
      <c r="F100" s="39" t="n"/>
      <c r="G100" s="86" t="n">
        <v>112.7</v>
      </c>
      <c r="H100" s="88">
        <f>G100*F100</f>
        <v/>
      </c>
    </row>
    <row r="101" hidden="1">
      <c r="B101" s="49" t="inlineStr">
        <is>
          <t>Energia / Infra - Site</t>
        </is>
      </c>
      <c r="C101" s="38" t="inlineStr">
        <is>
          <t>INFR14</t>
        </is>
      </c>
      <c r="D101" s="38" t="inlineStr">
        <is>
          <t xml:space="preserve">Cabo flexível #10mm² isol.  0,6/1,0Kv </t>
        </is>
      </c>
      <c r="E101" s="88" t="inlineStr">
        <is>
          <t>m</t>
        </is>
      </c>
      <c r="F101" s="64" t="n"/>
      <c r="G101" s="86" t="n">
        <v>27.47</v>
      </c>
      <c r="H101" s="88">
        <f>G101*F101</f>
        <v/>
      </c>
    </row>
    <row r="102">
      <c r="B102" s="49" t="inlineStr">
        <is>
          <t>Energia / Infra - Site</t>
        </is>
      </c>
      <c r="C102" s="38" t="inlineStr">
        <is>
          <t>INFR15</t>
        </is>
      </c>
      <c r="D102" s="38" t="inlineStr">
        <is>
          <t xml:space="preserve">Cabo flexível #16mm² isol.  0,6/1,0Kv </t>
        </is>
      </c>
      <c r="E102" s="38" t="inlineStr">
        <is>
          <t>m</t>
        </is>
      </c>
      <c r="F102" s="63" t="n"/>
      <c r="G102" s="86" t="n">
        <v>36.68</v>
      </c>
      <c r="H102" s="88">
        <f>G102*F102</f>
        <v/>
      </c>
    </row>
    <row r="103" hidden="1">
      <c r="B103" s="49" t="inlineStr">
        <is>
          <t>Energia / Infra - Site</t>
        </is>
      </c>
      <c r="C103" s="38" t="inlineStr">
        <is>
          <t>INFR16</t>
        </is>
      </c>
      <c r="D103" s="38" t="inlineStr">
        <is>
          <t>Poste de iluminação Telecônico Curvo Simples Flangeado com luminária inclusa</t>
        </is>
      </c>
      <c r="E103" s="88" t="inlineStr">
        <is>
          <t>un</t>
        </is>
      </c>
      <c r="F103" s="64" t="n"/>
      <c r="G103" s="86" t="n">
        <v>3615.93</v>
      </c>
      <c r="H103" s="88">
        <f>G103*F103</f>
        <v/>
      </c>
    </row>
    <row r="104" hidden="1">
      <c r="B104" s="49" t="inlineStr">
        <is>
          <t>Itens complementares</t>
        </is>
      </c>
      <c r="C104" s="38" t="inlineStr">
        <is>
          <t>COM01</t>
        </is>
      </c>
      <c r="D104" s="38" t="inlineStr">
        <is>
          <t>Caixa de alumínio</t>
        </is>
      </c>
      <c r="E104" s="38" t="inlineStr">
        <is>
          <t>un</t>
        </is>
      </c>
      <c r="F104" s="39" t="n"/>
      <c r="G104" s="86" t="n"/>
      <c r="H104" s="88">
        <f>G104*F104</f>
        <v/>
      </c>
    </row>
    <row r="105">
      <c r="B105" s="49" t="inlineStr">
        <is>
          <t>Itens complementares</t>
        </is>
      </c>
      <c r="C105" s="38" t="inlineStr">
        <is>
          <t>COM02</t>
        </is>
      </c>
      <c r="D105" s="38" t="inlineStr">
        <is>
          <t>Acessórios metálicos (mastro, costela de vaca, esteira horizontal e suportes de antena adicionais)</t>
        </is>
      </c>
      <c r="E105" s="88" t="inlineStr">
        <is>
          <t>kg</t>
        </is>
      </c>
      <c r="F105" s="63" t="n"/>
      <c r="G105" s="86" t="n">
        <v>79.76000000000001</v>
      </c>
      <c r="H105" s="88">
        <f>G105*F105</f>
        <v/>
      </c>
    </row>
    <row r="106" hidden="1">
      <c r="B106" s="49" t="inlineStr">
        <is>
          <t>Itens complementares</t>
        </is>
      </c>
      <c r="C106" s="38" t="inlineStr">
        <is>
          <t>COM03</t>
        </is>
      </c>
      <c r="D106" s="38" t="inlineStr">
        <is>
          <t>Segunda Mobilização (acima de 500Km da sede da companhia)</t>
        </is>
      </c>
      <c r="E106" s="38" t="inlineStr">
        <is>
          <t>un</t>
        </is>
      </c>
      <c r="F106" s="39" t="n"/>
      <c r="G106" s="86" t="n">
        <v>3500</v>
      </c>
      <c r="H106" s="88">
        <f>G106*F106</f>
        <v/>
      </c>
    </row>
    <row r="107" hidden="1">
      <c r="B107" s="49" t="inlineStr">
        <is>
          <t>Itens complementares</t>
        </is>
      </c>
      <c r="C107" s="38" t="inlineStr">
        <is>
          <t>COM04</t>
        </is>
      </c>
      <c r="D107" s="38" t="inlineStr">
        <is>
          <t>Supressão de Vegetação existente (Limpeza de mato rasteiro, entulho e objetos existentes no site)</t>
        </is>
      </c>
      <c r="E107" s="88" t="inlineStr">
        <is>
          <t>un</t>
        </is>
      </c>
      <c r="F107" s="39" t="n"/>
      <c r="G107" s="86" t="n">
        <v>1200</v>
      </c>
      <c r="H107" s="88">
        <f>G107*F107</f>
        <v/>
      </c>
    </row>
    <row r="108" hidden="1">
      <c r="B108" s="49" t="inlineStr">
        <is>
          <t>Itens complementares</t>
        </is>
      </c>
      <c r="C108" s="38" t="inlineStr">
        <is>
          <t>COM05</t>
        </is>
      </c>
      <c r="D108" s="38" t="inlineStr">
        <is>
          <t>Caçamba</t>
        </is>
      </c>
      <c r="E108" s="38" t="inlineStr">
        <is>
          <t>un</t>
        </is>
      </c>
      <c r="F108" s="39" t="n"/>
      <c r="G108" s="86" t="n"/>
      <c r="H108" s="88">
        <f>G108*F108</f>
        <v/>
      </c>
    </row>
    <row r="109" hidden="1">
      <c r="B109" s="49" t="inlineStr">
        <is>
          <t>Itens complementares</t>
        </is>
      </c>
      <c r="C109" s="38" t="inlineStr">
        <is>
          <t>COM06</t>
        </is>
      </c>
      <c r="D109" s="38" t="inlineStr">
        <is>
          <t>Retirada de Arvore de Pequeno Porte - Até 2,4m (Sem incluir licenciamento)</t>
        </is>
      </c>
      <c r="E109" s="88" t="inlineStr">
        <is>
          <t>un</t>
        </is>
      </c>
      <c r="F109" s="39" t="n"/>
      <c r="G109" s="86" t="n"/>
      <c r="H109" s="88">
        <f>G109*F109</f>
        <v/>
      </c>
    </row>
    <row r="110" hidden="1">
      <c r="B110" s="49" t="inlineStr">
        <is>
          <t>Itens complementares</t>
        </is>
      </c>
      <c r="C110" s="38" t="inlineStr">
        <is>
          <t>COM07</t>
        </is>
      </c>
      <c r="D110" s="38" t="inlineStr">
        <is>
          <t>Retirada de Arvore de Grande Porte - Acima de 2,4m (Sem incluir licenciamento)</t>
        </is>
      </c>
      <c r="E110" s="38" t="inlineStr">
        <is>
          <t>un</t>
        </is>
      </c>
      <c r="F110" s="39" t="n"/>
      <c r="G110" s="86" t="n"/>
      <c r="H110" s="88">
        <f>G110*F110</f>
        <v/>
      </c>
    </row>
    <row r="111" hidden="1">
      <c r="B111" s="49" t="inlineStr">
        <is>
          <t>Itens complementares</t>
        </is>
      </c>
      <c r="C111" s="38" t="inlineStr">
        <is>
          <t>COM08</t>
        </is>
      </c>
      <c r="D111" s="38" t="inlineStr">
        <is>
          <t>Sistema de Drenagem (Ao redor do site, por metro linear)</t>
        </is>
      </c>
      <c r="E111" s="88" t="inlineStr">
        <is>
          <t>m</t>
        </is>
      </c>
      <c r="F111" s="39" t="n"/>
      <c r="G111" s="86" t="n"/>
      <c r="H111" s="88">
        <f>G111*F111</f>
        <v/>
      </c>
    </row>
    <row r="112" hidden="1">
      <c r="B112" s="49" t="inlineStr">
        <is>
          <t>Itens complementares</t>
        </is>
      </c>
      <c r="C112" s="38" t="inlineStr">
        <is>
          <t>COM09</t>
        </is>
      </c>
      <c r="D112" s="38" t="inlineStr">
        <is>
          <t>Grama</t>
        </is>
      </c>
      <c r="E112" s="38" t="inlineStr">
        <is>
          <t>m²</t>
        </is>
      </c>
      <c r="F112" s="39" t="n"/>
      <c r="G112" s="86" t="n"/>
      <c r="H112" s="88">
        <f>G112*F112</f>
        <v/>
      </c>
    </row>
    <row r="113">
      <c r="B113" s="49" t="inlineStr">
        <is>
          <t>Itens complementares</t>
        </is>
      </c>
      <c r="C113" s="38" t="inlineStr">
        <is>
          <t>COM10</t>
        </is>
      </c>
      <c r="D113" s="38" t="inlineStr">
        <is>
          <t>Logistica de Obra (Transporte dos materiais de obra)</t>
        </is>
      </c>
      <c r="E113" s="88" t="inlineStr">
        <is>
          <t>Vb</t>
        </is>
      </c>
      <c r="F113" s="64" t="n"/>
      <c r="G113" s="86" t="n">
        <v>4485.42</v>
      </c>
      <c r="H113" s="88">
        <f>G113*F113</f>
        <v/>
      </c>
    </row>
    <row r="114" hidden="1">
      <c r="B114" s="49" t="inlineStr">
        <is>
          <t>Itens complementares</t>
        </is>
      </c>
      <c r="C114" s="38" t="inlineStr">
        <is>
          <t>COM11</t>
        </is>
      </c>
      <c r="D114" s="38" t="inlineStr">
        <is>
          <t>Escada de Acesso de até 1,5m de largura</t>
        </is>
      </c>
      <c r="E114" s="88" t="inlineStr">
        <is>
          <t>m</t>
        </is>
      </c>
      <c r="F114" s="39" t="n"/>
      <c r="G114" s="86" t="n"/>
      <c r="H114" s="89">
        <f>G114*F114</f>
        <v/>
      </c>
    </row>
    <row r="115" hidden="1">
      <c r="B115" s="49" t="inlineStr">
        <is>
          <t>Itens complementares</t>
        </is>
      </c>
      <c r="C115" s="38" t="inlineStr">
        <is>
          <t>COM12</t>
        </is>
      </c>
      <c r="D115" s="38" t="inlineStr">
        <is>
          <t>Corte, Regularização e Nivelamento do Talude</t>
        </is>
      </c>
      <c r="E115" s="88" t="inlineStr">
        <is>
          <t>m²</t>
        </is>
      </c>
      <c r="F115" s="39" t="n"/>
      <c r="G115" s="86" t="n"/>
      <c r="H115" s="88">
        <f>G115*F115</f>
        <v/>
      </c>
    </row>
    <row r="116" hidden="1">
      <c r="B116" s="49" t="inlineStr">
        <is>
          <t>Acessórios EV</t>
        </is>
      </c>
      <c r="C116" s="38" t="inlineStr">
        <is>
          <t>AEV01</t>
        </is>
      </c>
      <c r="D116" s="38" t="inlineStr">
        <is>
          <t>Suporte MW Canto Adicional 0,6</t>
        </is>
      </c>
      <c r="E116" s="38" t="inlineStr">
        <is>
          <t>un</t>
        </is>
      </c>
      <c r="F116" s="39" t="n"/>
      <c r="G116" s="86" t="n"/>
      <c r="H116" s="88">
        <f>G116*F116</f>
        <v/>
      </c>
    </row>
    <row r="117" hidden="1">
      <c r="B117" s="49" t="inlineStr">
        <is>
          <t>Acessórios EV</t>
        </is>
      </c>
      <c r="C117" s="38" t="inlineStr">
        <is>
          <t>AEV02</t>
        </is>
      </c>
      <c r="D117" s="38" t="inlineStr">
        <is>
          <t>Suporte MW Canto Adicional 0,9</t>
        </is>
      </c>
      <c r="E117" s="88" t="inlineStr">
        <is>
          <t>un</t>
        </is>
      </c>
      <c r="F117" s="39" t="n"/>
      <c r="G117" s="86" t="n"/>
      <c r="H117" s="88">
        <f>G117*F117</f>
        <v/>
      </c>
    </row>
    <row r="118" hidden="1">
      <c r="B118" s="49" t="inlineStr">
        <is>
          <t>Acessórios EV</t>
        </is>
      </c>
      <c r="C118" s="38" t="inlineStr">
        <is>
          <t>AEV03</t>
        </is>
      </c>
      <c r="D118" s="38" t="inlineStr">
        <is>
          <t>Suporte MW Canto Adicional 1,2</t>
        </is>
      </c>
      <c r="E118" s="38" t="inlineStr">
        <is>
          <t>un</t>
        </is>
      </c>
      <c r="F118" s="39" t="n"/>
      <c r="G118" s="86" t="n"/>
      <c r="H118" s="88">
        <f>G118*F118</f>
        <v/>
      </c>
    </row>
    <row r="119" hidden="1">
      <c r="B119" s="49" t="inlineStr">
        <is>
          <t>Acessórios EV</t>
        </is>
      </c>
      <c r="C119" s="38" t="inlineStr">
        <is>
          <t>AEV04</t>
        </is>
      </c>
      <c r="D119" s="38" t="inlineStr">
        <is>
          <t>Suporte MW Face Adicional 0,6</t>
        </is>
      </c>
      <c r="E119" s="88" t="inlineStr">
        <is>
          <t>un</t>
        </is>
      </c>
      <c r="F119" s="39" t="n"/>
      <c r="G119" s="86" t="n"/>
      <c r="H119" s="88">
        <f>G119*F119</f>
        <v/>
      </c>
    </row>
    <row r="120" hidden="1">
      <c r="B120" s="49" t="inlineStr">
        <is>
          <t>Acessórios EV</t>
        </is>
      </c>
      <c r="C120" s="38" t="inlineStr">
        <is>
          <t>AEV05</t>
        </is>
      </c>
      <c r="D120" s="38" t="inlineStr">
        <is>
          <t>Suporte MW Face Adicional 0,9</t>
        </is>
      </c>
      <c r="E120" s="38" t="inlineStr">
        <is>
          <t>un</t>
        </is>
      </c>
      <c r="F120" s="39" t="n"/>
      <c r="G120" s="86" t="n"/>
      <c r="H120" s="88">
        <f>G120*F120</f>
        <v/>
      </c>
    </row>
    <row r="121" hidden="1">
      <c r="B121" s="49" t="inlineStr">
        <is>
          <t>Acessórios EV</t>
        </is>
      </c>
      <c r="C121" s="38" t="inlineStr">
        <is>
          <t>AEV06</t>
        </is>
      </c>
      <c r="D121" s="38" t="inlineStr">
        <is>
          <t>Suporte MW Face Adicional 1,2</t>
        </is>
      </c>
      <c r="E121" s="88" t="inlineStr">
        <is>
          <t>un</t>
        </is>
      </c>
      <c r="F121" s="39" t="n"/>
      <c r="G121" s="86" t="n">
        <v>5500</v>
      </c>
      <c r="H121" s="88">
        <f>G121*F121</f>
        <v/>
      </c>
    </row>
    <row r="122">
      <c r="B122" s="49" t="inlineStr">
        <is>
          <t>Acessórios EV</t>
        </is>
      </c>
      <c r="C122" s="38" t="inlineStr">
        <is>
          <t>AEV07</t>
        </is>
      </c>
      <c r="D122" s="38" t="inlineStr">
        <is>
          <t>Suporte de RF</t>
        </is>
      </c>
      <c r="E122" s="38" t="inlineStr">
        <is>
          <t>un</t>
        </is>
      </c>
      <c r="F122" s="63" t="n"/>
      <c r="G122" s="86" t="n">
        <v>3895.81</v>
      </c>
      <c r="H122" s="88">
        <f>G122*F122</f>
        <v/>
      </c>
    </row>
    <row r="123" hidden="1">
      <c r="B123" s="49" t="inlineStr">
        <is>
          <t>Acessórios EV</t>
        </is>
      </c>
      <c r="C123" s="38" t="inlineStr">
        <is>
          <t>AEV08</t>
        </is>
      </c>
      <c r="D123" s="38" t="inlineStr">
        <is>
          <t>Esteiramento Encapsulado</t>
        </is>
      </c>
      <c r="E123" s="88" t="inlineStr">
        <is>
          <t>m</t>
        </is>
      </c>
      <c r="F123" s="39" t="n"/>
      <c r="G123" s="86" t="n"/>
      <c r="H123" s="88">
        <f>G123*F123</f>
        <v/>
      </c>
    </row>
    <row r="124">
      <c r="B124" s="49" t="inlineStr">
        <is>
          <t>Acessórios EV</t>
        </is>
      </c>
      <c r="C124" s="38" t="inlineStr">
        <is>
          <t>AEV09</t>
        </is>
      </c>
      <c r="D124" s="38" t="inlineStr">
        <is>
          <t>Esteiramento Aéreo</t>
        </is>
      </c>
      <c r="E124" s="38" t="inlineStr">
        <is>
          <t>m</t>
        </is>
      </c>
      <c r="F124" s="64" t="n"/>
      <c r="G124" s="86" t="n">
        <v>488.09</v>
      </c>
      <c r="H124" s="88">
        <f>G124*F124</f>
        <v/>
      </c>
    </row>
    <row r="125" hidden="1">
      <c r="B125" s="49" t="inlineStr">
        <is>
          <t>Acessórios EV</t>
        </is>
      </c>
      <c r="C125" s="38" t="inlineStr">
        <is>
          <t>AEV10</t>
        </is>
      </c>
      <c r="D125" s="38" t="inlineStr">
        <is>
          <t>Esteiramento Aéreo Encapsulado</t>
        </is>
      </c>
      <c r="E125" s="88" t="inlineStr">
        <is>
          <t>m</t>
        </is>
      </c>
      <c r="F125" s="39" t="n"/>
      <c r="G125" s="86" t="n"/>
      <c r="H125" s="88">
        <f>G125*F125</f>
        <v/>
      </c>
    </row>
    <row r="126" hidden="1">
      <c r="B126" s="49" t="inlineStr">
        <is>
          <t xml:space="preserve">Extensão de Rede </t>
        </is>
      </c>
      <c r="C126" s="38" t="inlineStr">
        <is>
          <t>EXT01</t>
        </is>
      </c>
      <c r="D126" s="38" t="inlineStr">
        <is>
          <t>Estrutura de derivação - Compacta Bifásica</t>
        </is>
      </c>
      <c r="E126" s="38" t="inlineStr">
        <is>
          <t>Unid</t>
        </is>
      </c>
      <c r="F126" s="39" t="n"/>
      <c r="G126" s="86" t="n"/>
      <c r="H126" s="88">
        <f>G126*F126</f>
        <v/>
      </c>
    </row>
    <row r="127" hidden="1">
      <c r="B127" s="49" t="inlineStr">
        <is>
          <t xml:space="preserve">Extensão de Rede </t>
        </is>
      </c>
      <c r="C127" s="38" t="inlineStr">
        <is>
          <t>EXT02</t>
        </is>
      </c>
      <c r="D127" s="38" t="inlineStr">
        <is>
          <t>Estrutura de derivação - Compacta Monofásica</t>
        </is>
      </c>
      <c r="E127" s="88" t="inlineStr">
        <is>
          <t>Unid</t>
        </is>
      </c>
      <c r="F127" s="39" t="n"/>
      <c r="G127" s="86" t="n"/>
      <c r="H127" s="88">
        <f>G127*F127</f>
        <v/>
      </c>
    </row>
    <row r="128" hidden="1">
      <c r="B128" s="49" t="inlineStr">
        <is>
          <t xml:space="preserve">Extensão de Rede </t>
        </is>
      </c>
      <c r="C128" s="38" t="inlineStr">
        <is>
          <t>EXT03</t>
        </is>
      </c>
      <c r="D128" s="38" t="inlineStr">
        <is>
          <t>Estrutura de derivação -Compacta Trifásica</t>
        </is>
      </c>
      <c r="E128" s="38" t="inlineStr">
        <is>
          <t>Unid</t>
        </is>
      </c>
      <c r="F128" s="39" t="n"/>
      <c r="G128" s="86" t="n"/>
      <c r="H128" s="88">
        <f>G128*F128</f>
        <v/>
      </c>
    </row>
    <row r="129" hidden="1">
      <c r="B129" s="49" t="inlineStr">
        <is>
          <t xml:space="preserve">Extensão de Rede </t>
        </is>
      </c>
      <c r="C129" s="38" t="inlineStr">
        <is>
          <t>EXT04</t>
        </is>
      </c>
      <c r="D129" s="38" t="inlineStr">
        <is>
          <t>Estrutura de derivação - Convencional Bifásica</t>
        </is>
      </c>
      <c r="E129" s="88" t="inlineStr">
        <is>
          <t>Unid</t>
        </is>
      </c>
      <c r="F129" s="39" t="n"/>
      <c r="G129" s="86" t="n"/>
      <c r="H129" s="88">
        <f>G129*F129</f>
        <v/>
      </c>
    </row>
    <row r="130" hidden="1">
      <c r="B130" s="49" t="inlineStr">
        <is>
          <t xml:space="preserve">Extensão de Rede </t>
        </is>
      </c>
      <c r="C130" s="38" t="inlineStr">
        <is>
          <t>EXT05</t>
        </is>
      </c>
      <c r="D130" s="38" t="inlineStr">
        <is>
          <t>Estrutura de derivação - Convencional Monofásica</t>
        </is>
      </c>
      <c r="E130" s="38" t="inlineStr">
        <is>
          <t>Unid</t>
        </is>
      </c>
      <c r="F130" s="39" t="n"/>
      <c r="G130" s="86" t="n"/>
      <c r="H130" s="88">
        <f>G130*F130</f>
        <v/>
      </c>
    </row>
    <row r="131" hidden="1">
      <c r="B131" s="49" t="inlineStr">
        <is>
          <t xml:space="preserve">Extensão de Rede </t>
        </is>
      </c>
      <c r="C131" s="38" t="inlineStr">
        <is>
          <t>EXT06</t>
        </is>
      </c>
      <c r="D131" s="38" t="inlineStr">
        <is>
          <t>Estrutura de derivação - Convencional Trifásica</t>
        </is>
      </c>
      <c r="E131" s="88" t="inlineStr">
        <is>
          <t>Unid</t>
        </is>
      </c>
      <c r="F131" s="39" t="n"/>
      <c r="G131" s="86" t="n"/>
      <c r="H131" s="88">
        <f>G131*F131</f>
        <v/>
      </c>
    </row>
    <row r="132" hidden="1">
      <c r="B132" s="49" t="inlineStr">
        <is>
          <t xml:space="preserve">Extensão de Rede </t>
        </is>
      </c>
      <c r="C132" s="38" t="inlineStr">
        <is>
          <t>EXT07</t>
        </is>
      </c>
      <c r="D132" s="38" t="inlineStr">
        <is>
          <t>Subestação  - 15 kV - transformador monofásico - 10 kVA</t>
        </is>
      </c>
      <c r="E132" s="38" t="inlineStr">
        <is>
          <t>Unid</t>
        </is>
      </c>
      <c r="F132" s="39" t="n"/>
      <c r="G132" s="86" t="n"/>
      <c r="H132" s="89">
        <f>G132*F132</f>
        <v/>
      </c>
    </row>
    <row r="133" hidden="1">
      <c r="B133" s="49" t="inlineStr">
        <is>
          <t xml:space="preserve">Extensão de Rede </t>
        </is>
      </c>
      <c r="C133" s="38" t="inlineStr">
        <is>
          <t>EXT08</t>
        </is>
      </c>
      <c r="D133" s="38" t="inlineStr">
        <is>
          <t>Subestação  - 15 kV - transformador bifásico - 10 kVA</t>
        </is>
      </c>
      <c r="E133" s="88" t="inlineStr">
        <is>
          <t>Unid</t>
        </is>
      </c>
      <c r="F133" s="39" t="n"/>
      <c r="G133" s="86" t="n"/>
      <c r="H133" s="88">
        <f>G133*F133</f>
        <v/>
      </c>
    </row>
    <row r="134" hidden="1">
      <c r="B134" s="49" t="inlineStr">
        <is>
          <t xml:space="preserve">Extensão de Rede </t>
        </is>
      </c>
      <c r="C134" s="38" t="inlineStr">
        <is>
          <t>EXT09</t>
        </is>
      </c>
      <c r="D134" s="38" t="inlineStr">
        <is>
          <t>Subestação - 15 kV - transformador trifásico - 15 kVA</t>
        </is>
      </c>
      <c r="E134" s="38" t="inlineStr">
        <is>
          <t>Unid</t>
        </is>
      </c>
      <c r="F134" s="39" t="n"/>
      <c r="G134" s="86" t="n"/>
      <c r="H134" s="88">
        <f>G134*F134</f>
        <v/>
      </c>
    </row>
    <row r="135" hidden="1">
      <c r="B135" s="49" t="inlineStr">
        <is>
          <t xml:space="preserve">Extensão de Rede </t>
        </is>
      </c>
      <c r="C135" s="38" t="inlineStr">
        <is>
          <t>EXT10</t>
        </is>
      </c>
      <c r="D135" s="38" t="inlineStr">
        <is>
          <t>Subestação - 15 kV - transformador trifásico - 30 kVA</t>
        </is>
      </c>
      <c r="E135" s="88" t="inlineStr">
        <is>
          <t>Unid</t>
        </is>
      </c>
      <c r="F135" s="39" t="n"/>
      <c r="G135" s="86" t="n"/>
      <c r="H135" s="88">
        <f>G135*F135</f>
        <v/>
      </c>
    </row>
    <row r="136" hidden="1">
      <c r="B136" s="49" t="inlineStr">
        <is>
          <t xml:space="preserve">Extensão de Rede </t>
        </is>
      </c>
      <c r="C136" s="38" t="inlineStr">
        <is>
          <t>EXT11</t>
        </is>
      </c>
      <c r="D136" s="38" t="inlineStr">
        <is>
          <t>Subestação - 15 kV - transformador trifásico - 45 kVA</t>
        </is>
      </c>
      <c r="E136" s="38" t="inlineStr">
        <is>
          <t>Unid</t>
        </is>
      </c>
      <c r="F136" s="39" t="n"/>
      <c r="G136" s="86" t="n"/>
      <c r="H136" s="88">
        <f>G136*F136</f>
        <v/>
      </c>
    </row>
    <row r="137" hidden="1">
      <c r="B137" s="49" t="inlineStr">
        <is>
          <t xml:space="preserve">Extensão de Rede </t>
        </is>
      </c>
      <c r="C137" s="38" t="inlineStr">
        <is>
          <t>EXT12</t>
        </is>
      </c>
      <c r="D137" s="38" t="inlineStr">
        <is>
          <t>Subestação - 15 kV - transformador trifásico - 75 kVA</t>
        </is>
      </c>
      <c r="E137" s="88" t="inlineStr">
        <is>
          <t>Unid</t>
        </is>
      </c>
      <c r="F137" s="39" t="n"/>
      <c r="G137" s="86" t="n"/>
      <c r="H137" s="88">
        <f>G137*F137</f>
        <v/>
      </c>
    </row>
    <row r="138" hidden="1">
      <c r="B138" s="49" t="inlineStr">
        <is>
          <t xml:space="preserve">Extensão de Rede </t>
        </is>
      </c>
      <c r="C138" s="38" t="inlineStr">
        <is>
          <t>EXT13</t>
        </is>
      </c>
      <c r="D138" s="38" t="inlineStr">
        <is>
          <t>Subestação  - 25 kV - transformador monofásico - 10 kVA</t>
        </is>
      </c>
      <c r="E138" s="38" t="inlineStr">
        <is>
          <t>Unid</t>
        </is>
      </c>
      <c r="F138" s="39" t="n"/>
      <c r="G138" s="86" t="n"/>
      <c r="H138" s="88">
        <f>G138*F138</f>
        <v/>
      </c>
    </row>
    <row r="139" hidden="1">
      <c r="B139" s="49" t="inlineStr">
        <is>
          <t xml:space="preserve">Extensão de Rede </t>
        </is>
      </c>
      <c r="C139" s="38" t="inlineStr">
        <is>
          <t>EXT14</t>
        </is>
      </c>
      <c r="D139" s="38" t="inlineStr">
        <is>
          <t>Subestação - 25 kV - transformador bifásico - 10 kVA</t>
        </is>
      </c>
      <c r="E139" s="88" t="inlineStr">
        <is>
          <t>Unid</t>
        </is>
      </c>
      <c r="F139" s="39" t="n"/>
      <c r="G139" s="86" t="n"/>
      <c r="H139" s="87">
        <f>G139*F139</f>
        <v/>
      </c>
    </row>
    <row r="140" hidden="1">
      <c r="B140" s="49" t="inlineStr">
        <is>
          <t xml:space="preserve">Extensão de Rede </t>
        </is>
      </c>
      <c r="C140" s="38" t="inlineStr">
        <is>
          <t>EXT15</t>
        </is>
      </c>
      <c r="D140" s="38" t="inlineStr">
        <is>
          <t>Subestação - 25 kV - transformador trifásico - 15 kVA</t>
        </is>
      </c>
      <c r="E140" s="38" t="inlineStr">
        <is>
          <t>Unid</t>
        </is>
      </c>
      <c r="F140" s="39" t="n"/>
      <c r="G140" s="86" t="n"/>
      <c r="H140" s="87">
        <f>G140*F140</f>
        <v/>
      </c>
    </row>
    <row r="141" hidden="1">
      <c r="B141" s="49" t="inlineStr">
        <is>
          <t xml:space="preserve">Extensão de Rede </t>
        </is>
      </c>
      <c r="C141" s="38" t="inlineStr">
        <is>
          <t>EXT16</t>
        </is>
      </c>
      <c r="D141" s="38" t="inlineStr">
        <is>
          <t>Subestação - 25 kV - transformador trifásico - 30 kVA</t>
        </is>
      </c>
      <c r="E141" s="88" t="inlineStr">
        <is>
          <t>Unid</t>
        </is>
      </c>
      <c r="F141" s="39" t="n"/>
      <c r="G141" s="86" t="n"/>
      <c r="H141" s="87">
        <f>G141*F141</f>
        <v/>
      </c>
    </row>
    <row r="142" hidden="1">
      <c r="B142" s="49" t="inlineStr">
        <is>
          <t xml:space="preserve">Extensão de Rede </t>
        </is>
      </c>
      <c r="C142" s="38" t="inlineStr">
        <is>
          <t>EXT17</t>
        </is>
      </c>
      <c r="D142" s="38" t="inlineStr">
        <is>
          <t>Subestação - 25 kV - transformador trifásico - 45 kVA</t>
        </is>
      </c>
      <c r="E142" s="38" t="inlineStr">
        <is>
          <t>Unid</t>
        </is>
      </c>
      <c r="F142" s="39" t="n"/>
      <c r="G142" s="86" t="n"/>
      <c r="H142" s="87">
        <f>G142*F142</f>
        <v/>
      </c>
    </row>
    <row r="143" hidden="1">
      <c r="B143" s="49" t="inlineStr">
        <is>
          <t xml:space="preserve">Extensão de Rede </t>
        </is>
      </c>
      <c r="C143" s="38" t="inlineStr">
        <is>
          <t>EXT18</t>
        </is>
      </c>
      <c r="D143" s="38" t="inlineStr">
        <is>
          <t>Subestação - 25 kV - transformador trifásico - 75 kVA</t>
        </is>
      </c>
      <c r="E143" s="88" t="inlineStr">
        <is>
          <t>Unid</t>
        </is>
      </c>
      <c r="F143" s="39" t="n"/>
      <c r="G143" s="86" t="n"/>
      <c r="H143" s="87">
        <f>G143*F143</f>
        <v/>
      </c>
    </row>
    <row r="144" hidden="1">
      <c r="B144" s="49" t="inlineStr">
        <is>
          <t xml:space="preserve">Extensão de Rede </t>
        </is>
      </c>
      <c r="C144" s="38" t="inlineStr">
        <is>
          <t>EXT19</t>
        </is>
      </c>
      <c r="D144" s="38" t="inlineStr">
        <is>
          <t>Extensão de Rede Aérea  - Baixa tensão - Compacta  Monofásica</t>
        </is>
      </c>
      <c r="E144" s="38" t="inlineStr">
        <is>
          <t>m</t>
        </is>
      </c>
      <c r="F144" s="39" t="n"/>
      <c r="G144" s="86" t="n"/>
      <c r="H144" s="87">
        <f>G144*F144</f>
        <v/>
      </c>
    </row>
    <row r="145" hidden="1">
      <c r="B145" s="49" t="inlineStr">
        <is>
          <t xml:space="preserve">Extensão de Rede </t>
        </is>
      </c>
      <c r="C145" s="38" t="inlineStr">
        <is>
          <t>EXT20</t>
        </is>
      </c>
      <c r="D145" s="38" t="inlineStr">
        <is>
          <t>Extensão de Rede Aérea  - Baixa tensão - Compacta Bifásica</t>
        </is>
      </c>
      <c r="E145" s="88" t="inlineStr">
        <is>
          <t>m</t>
        </is>
      </c>
      <c r="F145" s="39" t="n"/>
      <c r="G145" s="86" t="n"/>
      <c r="H145" s="87">
        <f>G145*F145</f>
        <v/>
      </c>
    </row>
    <row r="146" hidden="1">
      <c r="B146" s="49" t="inlineStr">
        <is>
          <t xml:space="preserve">Extensão de Rede </t>
        </is>
      </c>
      <c r="C146" s="38" t="inlineStr">
        <is>
          <t>EXT21</t>
        </is>
      </c>
      <c r="D146" s="38" t="inlineStr">
        <is>
          <t>Extensão de Rede Aérea  - Baixa tensão - Compacta  Trifásica</t>
        </is>
      </c>
      <c r="E146" s="38" t="inlineStr">
        <is>
          <t>m</t>
        </is>
      </c>
      <c r="F146" s="39" t="n"/>
      <c r="G146" s="86" t="n"/>
      <c r="H146" s="87">
        <f>G146*F146</f>
        <v/>
      </c>
    </row>
    <row r="147" hidden="1">
      <c r="B147" s="49" t="inlineStr">
        <is>
          <t xml:space="preserve">Extensão de Rede </t>
        </is>
      </c>
      <c r="C147" s="38" t="inlineStr">
        <is>
          <t>EXT22</t>
        </is>
      </c>
      <c r="D147" s="38" t="inlineStr">
        <is>
          <t>Extensão de Rede Aérea  - Baixa tensão - Convencional  Monofásica</t>
        </is>
      </c>
      <c r="E147" s="88" t="inlineStr">
        <is>
          <t>m</t>
        </is>
      </c>
      <c r="F147" s="39" t="n"/>
      <c r="G147" s="86" t="n"/>
      <c r="H147" s="87">
        <f>G147*F147</f>
        <v/>
      </c>
    </row>
    <row r="148" hidden="1">
      <c r="B148" s="49" t="inlineStr">
        <is>
          <t xml:space="preserve">Extensão de Rede </t>
        </is>
      </c>
      <c r="C148" s="38" t="inlineStr">
        <is>
          <t>EXT23</t>
        </is>
      </c>
      <c r="D148" s="38" t="inlineStr">
        <is>
          <t>Extensão de Rede Aérea  - Baixa tensão - Convencional  Bifásica</t>
        </is>
      </c>
      <c r="E148" s="38" t="inlineStr">
        <is>
          <t>m</t>
        </is>
      </c>
      <c r="F148" s="39" t="n"/>
      <c r="G148" s="86" t="n"/>
      <c r="H148" s="87">
        <f>G148*F148</f>
        <v/>
      </c>
    </row>
    <row r="149" hidden="1">
      <c r="B149" s="49" t="inlineStr">
        <is>
          <t xml:space="preserve">Extensão de Rede </t>
        </is>
      </c>
      <c r="C149" s="38" t="inlineStr">
        <is>
          <t>EXT24</t>
        </is>
      </c>
      <c r="D149" s="38" t="inlineStr">
        <is>
          <t>Extensão de Rede Aérea  - Baixa tensão - Convencional  Trifásica</t>
        </is>
      </c>
      <c r="E149" s="88" t="inlineStr">
        <is>
          <t>m</t>
        </is>
      </c>
      <c r="F149" s="39" t="n"/>
      <c r="G149" s="86" t="n"/>
      <c r="H149" s="87">
        <f>G149*F149</f>
        <v/>
      </c>
    </row>
    <row r="150" hidden="1">
      <c r="B150" s="49" t="inlineStr">
        <is>
          <t xml:space="preserve">Extensão de Rede </t>
        </is>
      </c>
      <c r="C150" s="38" t="inlineStr">
        <is>
          <t>EXT25</t>
        </is>
      </c>
      <c r="D150" s="38" t="inlineStr">
        <is>
          <t>Extensão de Rede Aérea  - Alta tensão (15 kV)Compacta - Monofásica</t>
        </is>
      </c>
      <c r="E150" s="38" t="inlineStr">
        <is>
          <t>m</t>
        </is>
      </c>
      <c r="F150" s="39" t="n"/>
      <c r="G150" s="86" t="n"/>
      <c r="H150" s="87">
        <f>G150*F150</f>
        <v/>
      </c>
    </row>
    <row r="151" hidden="1">
      <c r="B151" s="49" t="inlineStr">
        <is>
          <t xml:space="preserve">Extensão de Rede </t>
        </is>
      </c>
      <c r="C151" s="38" t="inlineStr">
        <is>
          <t>EXT26</t>
        </is>
      </c>
      <c r="D151" s="38" t="inlineStr">
        <is>
          <t>Extensão de Rede Aérea - Alta tensão  (15 kV)Compacta - Bifásica</t>
        </is>
      </c>
      <c r="E151" s="88" t="inlineStr">
        <is>
          <t>m</t>
        </is>
      </c>
      <c r="F151" s="39" t="n"/>
      <c r="G151" s="86" t="n"/>
      <c r="H151" s="87">
        <f>G151*F151</f>
        <v/>
      </c>
    </row>
    <row r="152" hidden="1">
      <c r="B152" s="49" t="inlineStr">
        <is>
          <t xml:space="preserve">Extensão de Rede </t>
        </is>
      </c>
      <c r="C152" s="38" t="inlineStr">
        <is>
          <t>EXT27</t>
        </is>
      </c>
      <c r="D152" s="38" t="inlineStr">
        <is>
          <t>Extensão de Rede Aérea - Alta tensão  (15 kV)Compacta - Trifásica</t>
        </is>
      </c>
      <c r="E152" s="38" t="inlineStr">
        <is>
          <t>m</t>
        </is>
      </c>
      <c r="F152" s="39" t="n"/>
      <c r="G152" s="86" t="n"/>
      <c r="H152" s="87">
        <f>G152*F152</f>
        <v/>
      </c>
    </row>
    <row r="153" hidden="1">
      <c r="B153" s="49" t="inlineStr">
        <is>
          <t xml:space="preserve">Extensão de Rede </t>
        </is>
      </c>
      <c r="C153" s="38" t="inlineStr">
        <is>
          <t>EXT28</t>
        </is>
      </c>
      <c r="D153" s="38" t="inlineStr">
        <is>
          <t>Extensão de Rede Aérea  - Alta tensão (15 kV)  Convencional  - Monofásica</t>
        </is>
      </c>
      <c r="E153" s="88" t="inlineStr">
        <is>
          <t>m</t>
        </is>
      </c>
      <c r="F153" s="39" t="n"/>
      <c r="G153" s="86" t="n"/>
      <c r="H153" s="87">
        <f>G153*F153</f>
        <v/>
      </c>
    </row>
    <row r="154" hidden="1">
      <c r="B154" s="49" t="inlineStr">
        <is>
          <t xml:space="preserve">Extensão de Rede </t>
        </is>
      </c>
      <c r="C154" s="38" t="inlineStr">
        <is>
          <t>EXT29</t>
        </is>
      </c>
      <c r="D154" s="38" t="inlineStr">
        <is>
          <t>Extensão de Rede Aérea  - Alta tensão (15 kV)Convencional - Bifásica</t>
        </is>
      </c>
      <c r="E154" s="38" t="inlineStr">
        <is>
          <t>m</t>
        </is>
      </c>
      <c r="F154" s="39" t="n"/>
      <c r="G154" s="86" t="n"/>
      <c r="H154" s="87">
        <f>G154*F154</f>
        <v/>
      </c>
    </row>
    <row r="155" hidden="1">
      <c r="B155" s="49" t="inlineStr">
        <is>
          <t xml:space="preserve">Extensão de Rede </t>
        </is>
      </c>
      <c r="C155" s="38" t="inlineStr">
        <is>
          <t>EXT30</t>
        </is>
      </c>
      <c r="D155" s="38" t="inlineStr">
        <is>
          <t>Extensão de Rede Aérea - Alta tensão  (15 kV)Convencional - Trifásica</t>
        </is>
      </c>
      <c r="E155" s="88" t="inlineStr">
        <is>
          <t>m</t>
        </is>
      </c>
      <c r="F155" s="39" t="n"/>
      <c r="G155" s="86" t="n"/>
      <c r="H155" s="87">
        <f>G155*F155</f>
        <v/>
      </c>
    </row>
    <row r="156" hidden="1">
      <c r="B156" s="49" t="inlineStr">
        <is>
          <t xml:space="preserve">Extensão de Rede </t>
        </is>
      </c>
      <c r="C156" s="38" t="inlineStr">
        <is>
          <t>EXT31</t>
        </is>
      </c>
      <c r="D156" s="38" t="inlineStr">
        <is>
          <t>Extensão de Rede Aérea  - Alta tensão (25 kV)Compacta - Monofásica</t>
        </is>
      </c>
      <c r="E156" s="38" t="inlineStr">
        <is>
          <t>m</t>
        </is>
      </c>
      <c r="F156" s="39" t="n"/>
      <c r="G156" s="86" t="n"/>
      <c r="H156" s="87">
        <f>G156*F156</f>
        <v/>
      </c>
    </row>
    <row r="157" hidden="1">
      <c r="B157" s="49" t="inlineStr">
        <is>
          <t xml:space="preserve">Extensão de Rede </t>
        </is>
      </c>
      <c r="C157" s="38" t="inlineStr">
        <is>
          <t>EXT32</t>
        </is>
      </c>
      <c r="D157" s="38" t="inlineStr">
        <is>
          <t>Extensão de Rede Aérea - Alta tensão  (25 kV)Compacta - Bifásica</t>
        </is>
      </c>
      <c r="E157" s="88" t="inlineStr">
        <is>
          <t>m</t>
        </is>
      </c>
      <c r="F157" s="39" t="n"/>
      <c r="G157" s="86" t="n"/>
      <c r="H157" s="87">
        <f>G157*F157</f>
        <v/>
      </c>
    </row>
    <row r="158" hidden="1">
      <c r="B158" s="49" t="inlineStr">
        <is>
          <t xml:space="preserve">Extensão de Rede </t>
        </is>
      </c>
      <c r="C158" s="38" t="inlineStr">
        <is>
          <t>EXT33</t>
        </is>
      </c>
      <c r="D158" s="38" t="inlineStr">
        <is>
          <t>Extensão de Rede Aérea  - Alta tensão  (25 kV)Compacta - Trifásica</t>
        </is>
      </c>
      <c r="E158" s="38" t="inlineStr">
        <is>
          <t>m</t>
        </is>
      </c>
      <c r="F158" s="39" t="n"/>
      <c r="G158" s="86" t="n"/>
      <c r="H158" s="87">
        <f>G158*F158</f>
        <v/>
      </c>
    </row>
    <row r="159" hidden="1">
      <c r="B159" s="49" t="inlineStr">
        <is>
          <t xml:space="preserve">Extensão de Rede </t>
        </is>
      </c>
      <c r="C159" s="38" t="inlineStr">
        <is>
          <t>EXT34</t>
        </is>
      </c>
      <c r="D159" s="38" t="inlineStr">
        <is>
          <t>Extensão de Rede Aérea  - Alta tensão (25 kV)  Convencional  - Monofásica</t>
        </is>
      </c>
      <c r="E159" s="88" t="inlineStr">
        <is>
          <t>m</t>
        </is>
      </c>
      <c r="F159" s="39" t="n"/>
      <c r="G159" s="86" t="n"/>
      <c r="H159" s="87">
        <f>G159*F159</f>
        <v/>
      </c>
    </row>
    <row r="160" hidden="1">
      <c r="B160" s="49" t="inlineStr">
        <is>
          <t xml:space="preserve">Extensão de Rede </t>
        </is>
      </c>
      <c r="C160" s="38" t="inlineStr">
        <is>
          <t>EXT35</t>
        </is>
      </c>
      <c r="D160" s="38" t="inlineStr">
        <is>
          <t>Extensão de Rede Aérea  - Alta tensão (25 kV)Convencional - Bifásica</t>
        </is>
      </c>
      <c r="E160" s="38" t="inlineStr">
        <is>
          <t>m</t>
        </is>
      </c>
      <c r="F160" s="39" t="n"/>
      <c r="G160" s="86" t="n"/>
      <c r="H160" s="87">
        <f>G160*F160</f>
        <v/>
      </c>
    </row>
    <row r="161" hidden="1">
      <c r="B161" s="49" t="inlineStr">
        <is>
          <t xml:space="preserve">Extensão de Rede </t>
        </is>
      </c>
      <c r="C161" s="38" t="inlineStr">
        <is>
          <t>EXT36</t>
        </is>
      </c>
      <c r="D161" s="38" t="inlineStr">
        <is>
          <t>Extensão de Rede Aérea  - Alta tensão  (25 kV)Convencional - Trifásica</t>
        </is>
      </c>
      <c r="E161" s="88" t="inlineStr">
        <is>
          <t>m</t>
        </is>
      </c>
      <c r="F161" s="39" t="n"/>
      <c r="G161" s="86" t="n"/>
      <c r="H161" s="87">
        <f>G161*F161</f>
        <v/>
      </c>
    </row>
    <row r="162" hidden="1">
      <c r="B162" s="49" t="inlineStr">
        <is>
          <t>Acesso</t>
        </is>
      </c>
      <c r="C162" s="38" t="inlineStr">
        <is>
          <t>ACS01</t>
        </is>
      </c>
      <c r="D162" s="38" t="inlineStr">
        <is>
          <t>Via de acesso simples (Raspagem Superficial)</t>
        </is>
      </c>
      <c r="E162" s="38" t="inlineStr">
        <is>
          <t>m</t>
        </is>
      </c>
      <c r="F162" s="39" t="n"/>
      <c r="G162" s="86" t="n"/>
      <c r="H162" s="87">
        <f>G162*F162</f>
        <v/>
      </c>
    </row>
    <row r="163" hidden="1">
      <c r="B163" s="49" t="inlineStr">
        <is>
          <t>Acesso</t>
        </is>
      </c>
      <c r="C163" s="38" t="inlineStr">
        <is>
          <t>ACS02</t>
        </is>
      </c>
      <c r="D163" s="38" t="inlineStr">
        <is>
          <t>Via de acesso Completa (Raspagem, canaletas, curvas de nivel, caixas secas, sistema de drenagem)</t>
        </is>
      </c>
      <c r="E163" s="88" t="inlineStr">
        <is>
          <t>m</t>
        </is>
      </c>
      <c r="F163" s="39" t="n"/>
      <c r="G163" s="86" t="n"/>
      <c r="H163" s="87">
        <f>G163*F163</f>
        <v/>
      </c>
    </row>
    <row r="164" hidden="1">
      <c r="B164" s="49" t="inlineStr">
        <is>
          <t>Montagem</t>
        </is>
      </c>
      <c r="C164" s="38" t="inlineStr">
        <is>
          <t>MON01</t>
        </is>
      </c>
      <c r="D164" s="38" t="inlineStr">
        <is>
          <t>Montagem de Torre Autoportante 30m</t>
        </is>
      </c>
      <c r="E164" s="38" t="inlineStr">
        <is>
          <t>Vb</t>
        </is>
      </c>
      <c r="F164" s="39" t="n"/>
      <c r="G164" s="86" t="n"/>
      <c r="H164" s="87">
        <f>G164*F164</f>
        <v/>
      </c>
    </row>
    <row r="165" hidden="1">
      <c r="B165" s="49" t="inlineStr">
        <is>
          <t>Montagem</t>
        </is>
      </c>
      <c r="C165" s="38" t="inlineStr">
        <is>
          <t>MON02</t>
        </is>
      </c>
      <c r="D165" s="38" t="inlineStr">
        <is>
          <t>Montagem de Torre Autoportante 40m</t>
        </is>
      </c>
      <c r="E165" s="88" t="inlineStr">
        <is>
          <t>Vb</t>
        </is>
      </c>
      <c r="F165" s="39" t="n"/>
      <c r="G165" s="86" t="n"/>
      <c r="H165" s="87">
        <f>G165*F165</f>
        <v/>
      </c>
    </row>
    <row r="166" hidden="1">
      <c r="B166" s="49" t="inlineStr">
        <is>
          <t>Montagem</t>
        </is>
      </c>
      <c r="C166" s="38" t="inlineStr">
        <is>
          <t>MON03</t>
        </is>
      </c>
      <c r="D166" s="38" t="inlineStr">
        <is>
          <t>Montagem de Torre Autoportante 50m</t>
        </is>
      </c>
      <c r="E166" s="38" t="inlineStr">
        <is>
          <t>Vb</t>
        </is>
      </c>
      <c r="F166" s="39" t="n"/>
      <c r="G166" s="86" t="n"/>
      <c r="H166" s="87">
        <f>G166*F166</f>
        <v/>
      </c>
    </row>
    <row r="167" hidden="1">
      <c r="B167" s="49" t="inlineStr">
        <is>
          <t>Montagem</t>
        </is>
      </c>
      <c r="C167" s="38" t="inlineStr">
        <is>
          <t>MON04</t>
        </is>
      </c>
      <c r="D167" s="38" t="inlineStr">
        <is>
          <t>Montagem de Torre Autoportante 60m</t>
        </is>
      </c>
      <c r="E167" s="88" t="inlineStr">
        <is>
          <t>Vb</t>
        </is>
      </c>
      <c r="F167" s="39" t="n"/>
      <c r="G167" s="86" t="n"/>
      <c r="H167" s="87">
        <f>G167*F167</f>
        <v/>
      </c>
    </row>
    <row r="168" hidden="1">
      <c r="B168" s="49" t="inlineStr">
        <is>
          <t>Montagem</t>
        </is>
      </c>
      <c r="C168" s="38" t="inlineStr">
        <is>
          <t>MON05</t>
        </is>
      </c>
      <c r="D168" s="38" t="inlineStr">
        <is>
          <t>Montagem de Torre Autoportante 70m</t>
        </is>
      </c>
      <c r="E168" s="38" t="inlineStr">
        <is>
          <t>Vb</t>
        </is>
      </c>
      <c r="F168" s="39" t="n"/>
      <c r="G168" s="86" t="n"/>
      <c r="H168" s="87">
        <f>G168*F168</f>
        <v/>
      </c>
    </row>
    <row r="169" hidden="1">
      <c r="B169" s="49" t="inlineStr">
        <is>
          <t>Montagem</t>
        </is>
      </c>
      <c r="C169" s="38" t="inlineStr">
        <is>
          <t>MON06</t>
        </is>
      </c>
      <c r="D169" s="38" t="inlineStr">
        <is>
          <t>Montagem de Torre Autoportante 80m</t>
        </is>
      </c>
      <c r="E169" s="88" t="inlineStr">
        <is>
          <t>Vb</t>
        </is>
      </c>
      <c r="F169" s="39" t="n"/>
      <c r="G169" s="86" t="n"/>
      <c r="H169" s="87">
        <f>G169*F169</f>
        <v/>
      </c>
    </row>
    <row r="170" hidden="1">
      <c r="B170" s="49" t="inlineStr">
        <is>
          <t>Montagem</t>
        </is>
      </c>
      <c r="C170" s="38" t="inlineStr">
        <is>
          <t>MON07</t>
        </is>
      </c>
      <c r="D170" s="38" t="inlineStr">
        <is>
          <t>Montagem de Poste Autoportante 30m</t>
        </is>
      </c>
      <c r="E170" s="38" t="inlineStr">
        <is>
          <t>Vb</t>
        </is>
      </c>
      <c r="F170" s="39" t="n"/>
      <c r="G170" s="86" t="n">
        <v>11655</v>
      </c>
      <c r="H170" s="87">
        <f>G170*F170</f>
        <v/>
      </c>
    </row>
    <row r="171" hidden="1">
      <c r="B171" s="49" t="inlineStr">
        <is>
          <t>Montagem</t>
        </is>
      </c>
      <c r="C171" s="38" t="inlineStr">
        <is>
          <t>MON08</t>
        </is>
      </c>
      <c r="D171" s="38" t="inlineStr">
        <is>
          <t>Montagem de Poste Autoportante 40m</t>
        </is>
      </c>
      <c r="E171" s="88" t="inlineStr">
        <is>
          <t>Vb</t>
        </is>
      </c>
      <c r="F171" s="39" t="n"/>
      <c r="G171" s="86" t="n"/>
      <c r="H171" s="87">
        <f>G171*F171</f>
        <v/>
      </c>
    </row>
    <row r="172" hidden="1">
      <c r="B172" s="49" t="inlineStr">
        <is>
          <t>Montagem</t>
        </is>
      </c>
      <c r="C172" s="38" t="inlineStr">
        <is>
          <t>MON09</t>
        </is>
      </c>
      <c r="D172" s="38" t="inlineStr">
        <is>
          <t>Montagem de Poste Autoportante 50m</t>
        </is>
      </c>
      <c r="E172" s="38" t="inlineStr">
        <is>
          <t>Vb</t>
        </is>
      </c>
      <c r="F172" s="39" t="n"/>
      <c r="G172" s="86" t="n"/>
      <c r="H172" s="87">
        <f>G172*F172</f>
        <v/>
      </c>
    </row>
    <row r="173" hidden="1">
      <c r="B173" s="49" t="inlineStr">
        <is>
          <t>Montagem</t>
        </is>
      </c>
      <c r="C173" s="38" t="inlineStr">
        <is>
          <t>MON10</t>
        </is>
      </c>
      <c r="D173" s="38" t="inlineStr">
        <is>
          <t>Montagem de Poste Autoportante 60m</t>
        </is>
      </c>
      <c r="E173" s="88" t="inlineStr">
        <is>
          <t>Vb</t>
        </is>
      </c>
      <c r="F173" s="39" t="n"/>
      <c r="G173" s="86" t="n"/>
      <c r="H173" s="87">
        <f>G173*F173</f>
        <v/>
      </c>
    </row>
    <row r="174" hidden="1">
      <c r="B174" s="49" t="inlineStr">
        <is>
          <t>Montagem</t>
        </is>
      </c>
      <c r="C174" s="38" t="inlineStr">
        <is>
          <t>MON11</t>
        </is>
      </c>
      <c r="D174" s="38" t="inlineStr">
        <is>
          <t>Pintura de Torre Autoportante 30m</t>
        </is>
      </c>
      <c r="E174" s="38" t="inlineStr">
        <is>
          <t>Vb</t>
        </is>
      </c>
      <c r="F174" s="39" t="n"/>
      <c r="G174" s="86" t="n"/>
      <c r="H174" s="87">
        <f>G174*F174</f>
        <v/>
      </c>
    </row>
    <row r="175" hidden="1">
      <c r="B175" s="49" t="inlineStr">
        <is>
          <t>Montagem</t>
        </is>
      </c>
      <c r="C175" s="38" t="inlineStr">
        <is>
          <t>MON12</t>
        </is>
      </c>
      <c r="D175" s="38" t="inlineStr">
        <is>
          <t>Pintura de Torre Autoportante 40m</t>
        </is>
      </c>
      <c r="E175" s="88" t="inlineStr">
        <is>
          <t>Vb</t>
        </is>
      </c>
      <c r="F175" s="39" t="n"/>
      <c r="G175" s="86" t="n"/>
      <c r="H175" s="87">
        <f>G175*F175</f>
        <v/>
      </c>
    </row>
    <row r="176" hidden="1">
      <c r="B176" s="49" t="inlineStr">
        <is>
          <t>Montagem</t>
        </is>
      </c>
      <c r="C176" s="38" t="inlineStr">
        <is>
          <t>MON13</t>
        </is>
      </c>
      <c r="D176" s="38" t="inlineStr">
        <is>
          <t>Pintura de Torre Autoportante 50m</t>
        </is>
      </c>
      <c r="E176" s="38" t="inlineStr">
        <is>
          <t>Vb</t>
        </is>
      </c>
      <c r="F176" s="39" t="n"/>
      <c r="G176" s="86" t="n"/>
      <c r="H176" s="87">
        <f>G176*F176</f>
        <v/>
      </c>
    </row>
    <row r="177" hidden="1">
      <c r="B177" s="49" t="inlineStr">
        <is>
          <t>Montagem</t>
        </is>
      </c>
      <c r="C177" s="38" t="inlineStr">
        <is>
          <t>MON14</t>
        </is>
      </c>
      <c r="D177" s="38" t="inlineStr">
        <is>
          <t>Pintura de Torre Autoportante 60m</t>
        </is>
      </c>
      <c r="E177" s="88" t="inlineStr">
        <is>
          <t>Vb</t>
        </is>
      </c>
      <c r="F177" s="39" t="n"/>
      <c r="G177" s="86" t="n"/>
      <c r="H177" s="87">
        <f>G177*F177</f>
        <v/>
      </c>
    </row>
    <row r="178" hidden="1">
      <c r="B178" s="49" t="inlineStr">
        <is>
          <t>Montagem</t>
        </is>
      </c>
      <c r="C178" s="38" t="inlineStr">
        <is>
          <t>MON15</t>
        </is>
      </c>
      <c r="D178" s="38" t="inlineStr">
        <is>
          <t>Pintura de Torre Autoportante 70m</t>
        </is>
      </c>
      <c r="E178" s="38" t="inlineStr">
        <is>
          <t>Vb</t>
        </is>
      </c>
      <c r="F178" s="39" t="n"/>
      <c r="G178" s="86" t="n"/>
      <c r="H178" s="87">
        <f>G178*F178</f>
        <v/>
      </c>
    </row>
    <row r="179" hidden="1">
      <c r="B179" s="49" t="inlineStr">
        <is>
          <t>Montagem</t>
        </is>
      </c>
      <c r="C179" s="38" t="inlineStr">
        <is>
          <t>MON16</t>
        </is>
      </c>
      <c r="D179" s="38" t="inlineStr">
        <is>
          <t>Pintura de Torre Autoportante 80m</t>
        </is>
      </c>
      <c r="E179" s="88" t="inlineStr">
        <is>
          <t>Vb</t>
        </is>
      </c>
      <c r="F179" s="39" t="n"/>
      <c r="G179" s="86" t="n"/>
      <c r="H179" s="87">
        <f>G179*F179</f>
        <v/>
      </c>
    </row>
    <row r="180" hidden="1">
      <c r="B180" s="49" t="inlineStr">
        <is>
          <t>Montagem</t>
        </is>
      </c>
      <c r="C180" s="38" t="inlineStr">
        <is>
          <t>MON17</t>
        </is>
      </c>
      <c r="D180" s="38" t="inlineStr">
        <is>
          <t>Pintura de Poste Autoportante 30m</t>
        </is>
      </c>
      <c r="E180" s="38" t="inlineStr">
        <is>
          <t>Vb</t>
        </is>
      </c>
      <c r="F180" s="39" t="n"/>
      <c r="G180" s="86" t="n"/>
      <c r="H180" s="87">
        <f>G180*F180</f>
        <v/>
      </c>
    </row>
    <row r="181" hidden="1">
      <c r="B181" s="49" t="inlineStr">
        <is>
          <t>Montagem</t>
        </is>
      </c>
      <c r="C181" s="38" t="inlineStr">
        <is>
          <t>MON18</t>
        </is>
      </c>
      <c r="D181" s="38" t="inlineStr">
        <is>
          <t>Pintura de Poste Autoportante 40m</t>
        </is>
      </c>
      <c r="E181" s="88" t="inlineStr">
        <is>
          <t>Vb</t>
        </is>
      </c>
      <c r="F181" s="39" t="n"/>
      <c r="G181" s="86" t="n"/>
      <c r="H181" s="87">
        <f>G181*F181</f>
        <v/>
      </c>
    </row>
    <row r="182" hidden="1">
      <c r="B182" s="49" t="inlineStr">
        <is>
          <t>Montagem</t>
        </is>
      </c>
      <c r="C182" s="38" t="inlineStr">
        <is>
          <t>MON19</t>
        </is>
      </c>
      <c r="D182" s="38" t="inlineStr">
        <is>
          <t>Pintura de Poste Autoportante 50m</t>
        </is>
      </c>
      <c r="E182" s="38" t="inlineStr">
        <is>
          <t>Vb</t>
        </is>
      </c>
      <c r="F182" s="39" t="n"/>
      <c r="G182" s="86" t="n"/>
      <c r="H182" s="87">
        <f>G182*F182</f>
        <v/>
      </c>
    </row>
    <row r="183" hidden="1">
      <c r="B183" s="49" t="inlineStr">
        <is>
          <t>Montagem</t>
        </is>
      </c>
      <c r="C183" s="38" t="inlineStr">
        <is>
          <t>MON20</t>
        </is>
      </c>
      <c r="D183" s="38" t="inlineStr">
        <is>
          <t>Pintura de Poste Autoportante 60m</t>
        </is>
      </c>
      <c r="E183" s="88" t="inlineStr">
        <is>
          <t>Vb</t>
        </is>
      </c>
      <c r="F183" s="39" t="n"/>
      <c r="G183" s="86" t="n"/>
      <c r="H183" s="87">
        <f>G183*F183</f>
        <v/>
      </c>
    </row>
    <row r="184" hidden="1">
      <c r="B184" s="49" t="inlineStr">
        <is>
          <t>Transporte EV e Acessórios</t>
        </is>
      </c>
      <c r="C184" s="38" t="inlineStr">
        <is>
          <t>TRA94</t>
        </is>
      </c>
      <c r="D184" s="38" t="inlineStr">
        <is>
          <t>Descarga Mecanizada - Munk</t>
        </is>
      </c>
      <c r="E184" s="38" t="inlineStr">
        <is>
          <t>Vb</t>
        </is>
      </c>
      <c r="F184" s="39" t="n"/>
      <c r="G184" s="86" t="n"/>
      <c r="H184" s="87">
        <f>G184*F184</f>
        <v/>
      </c>
    </row>
    <row r="185" hidden="1">
      <c r="B185" s="49" t="inlineStr">
        <is>
          <t>Transporte EV e Acessórios</t>
        </is>
      </c>
      <c r="C185" s="38" t="inlineStr">
        <is>
          <t>TRA95</t>
        </is>
      </c>
      <c r="D185" s="38" t="inlineStr">
        <is>
          <t>Picape Leve (Saveiro, Strada, Montana)</t>
        </is>
      </c>
      <c r="E185" s="88" t="inlineStr">
        <is>
          <t>Km</t>
        </is>
      </c>
      <c r="F185" s="39" t="n"/>
      <c r="G185" s="86" t="n"/>
      <c r="H185" s="87">
        <f>G185*F185</f>
        <v/>
      </c>
    </row>
    <row r="186" hidden="1">
      <c r="B186" s="49" t="inlineStr">
        <is>
          <t>Transporte EV e Acessórios</t>
        </is>
      </c>
      <c r="C186" s="38" t="inlineStr">
        <is>
          <t>TRA96</t>
        </is>
      </c>
      <c r="D186" s="38" t="inlineStr">
        <is>
          <t xml:space="preserve">Transporte Veiculo Urbano de Carga - Ducato, Iveco daily, HR, Kia Bongo (Transporte de Chumbadores e pequenas cargas) até 1,5t </t>
        </is>
      </c>
      <c r="E186" s="38" t="inlineStr">
        <is>
          <t>Km</t>
        </is>
      </c>
      <c r="F186" s="39" t="n"/>
      <c r="G186" s="86" t="n"/>
      <c r="H186" s="87">
        <f>G186*F186</f>
        <v/>
      </c>
    </row>
    <row r="187" hidden="1">
      <c r="B187" s="49" t="inlineStr">
        <is>
          <t>Transporte EV e Acessórios</t>
        </is>
      </c>
      <c r="C187" s="38" t="inlineStr">
        <is>
          <t>TRA97</t>
        </is>
      </c>
      <c r="D187" s="38" t="inlineStr">
        <is>
          <t>Truck até 14t</t>
        </is>
      </c>
      <c r="E187" s="88" t="inlineStr">
        <is>
          <t>Km</t>
        </is>
      </c>
      <c r="F187" s="39" t="n"/>
      <c r="G187" s="86" t="n"/>
      <c r="H187" s="87">
        <f>G187*F187</f>
        <v/>
      </c>
    </row>
    <row r="188" hidden="1">
      <c r="B188" s="49" t="inlineStr">
        <is>
          <t>Transporte EV e Acessórios</t>
        </is>
      </c>
      <c r="C188" s="38" t="inlineStr">
        <is>
          <t>TRA98</t>
        </is>
      </c>
      <c r="D188" s="38" t="inlineStr">
        <is>
          <t>Carreta até 25t</t>
        </is>
      </c>
      <c r="E188" s="38" t="inlineStr">
        <is>
          <t>Km</t>
        </is>
      </c>
      <c r="F188" s="39" t="n"/>
      <c r="G188" s="86" t="n"/>
      <c r="H188" s="87">
        <f>G188*F188</f>
        <v/>
      </c>
    </row>
    <row r="189" hidden="1">
      <c r="B189" s="49" t="inlineStr">
        <is>
          <t>Transporte EV e Acessórios</t>
        </is>
      </c>
      <c r="C189" s="38" t="inlineStr">
        <is>
          <t>TRA99</t>
        </is>
      </c>
      <c r="D189" s="38" t="inlineStr">
        <is>
          <t>Carreta até 32t</t>
        </is>
      </c>
      <c r="E189" s="88" t="inlineStr">
        <is>
          <t>Km</t>
        </is>
      </c>
      <c r="F189" s="39" t="n"/>
      <c r="G189" s="86" t="n"/>
      <c r="H189" s="87">
        <f>G189*F189</f>
        <v/>
      </c>
    </row>
    <row r="190" hidden="1">
      <c r="B190" s="49" t="inlineStr">
        <is>
          <t>Reforço</t>
        </is>
      </c>
      <c r="C190" s="38" t="inlineStr">
        <is>
          <t>REF01</t>
        </is>
      </c>
      <c r="D190" s="38" t="inlineStr">
        <is>
          <t>REFORÇO ESTRUTURAL EM CANTONEIRAS ATÉ 200KG</t>
        </is>
      </c>
      <c r="E190" s="38" t="inlineStr">
        <is>
          <t>Kg</t>
        </is>
      </c>
      <c r="F190" s="39" t="n"/>
      <c r="G190" s="86" t="n"/>
      <c r="H190" s="87">
        <f>G190*F190</f>
        <v/>
      </c>
    </row>
    <row r="191" hidden="1">
      <c r="B191" s="49" t="inlineStr">
        <is>
          <t>Reforço</t>
        </is>
      </c>
      <c r="C191" s="38" t="inlineStr">
        <is>
          <t>REF02</t>
        </is>
      </c>
      <c r="D191" s="38" t="inlineStr">
        <is>
          <t>REFORÇO ESTRUTURAL EM CANTONEIRAS DE 200 ATÉ 500KG</t>
        </is>
      </c>
      <c r="E191" s="88" t="inlineStr">
        <is>
          <t>Kg</t>
        </is>
      </c>
      <c r="F191" s="39" t="n"/>
      <c r="G191" s="86" t="n"/>
      <c r="H191" s="87">
        <f>G191*F191</f>
        <v/>
      </c>
    </row>
    <row r="192" hidden="1">
      <c r="B192" s="49" t="inlineStr">
        <is>
          <t>Reforço</t>
        </is>
      </c>
      <c r="C192" s="38" t="inlineStr">
        <is>
          <t>REF03</t>
        </is>
      </c>
      <c r="D192" s="38" t="inlineStr">
        <is>
          <t>REFORÇO ESTRUTURAL EM CANTONEIRAS DE 500 ATÉ 1000KG</t>
        </is>
      </c>
      <c r="E192" s="38" t="inlineStr">
        <is>
          <t>Kg</t>
        </is>
      </c>
      <c r="F192" s="39" t="n"/>
      <c r="G192" s="86" t="n"/>
      <c r="H192" s="87">
        <f>G192*F192</f>
        <v/>
      </c>
    </row>
    <row r="193" hidden="1">
      <c r="B193" s="49" t="inlineStr">
        <is>
          <t>Reforço</t>
        </is>
      </c>
      <c r="C193" s="38" t="inlineStr">
        <is>
          <t>REF04</t>
        </is>
      </c>
      <c r="D193" s="38" t="inlineStr">
        <is>
          <t>REFORÇO ESTRUTURAL EM CANTONEIRAS ACIMA DE 1000KG</t>
        </is>
      </c>
      <c r="E193" s="88" t="inlineStr">
        <is>
          <t>Kg</t>
        </is>
      </c>
      <c r="F193" s="39" t="n"/>
      <c r="G193" s="86" t="n"/>
      <c r="H193" s="87">
        <f>G193*F193</f>
        <v/>
      </c>
    </row>
    <row r="194" hidden="1">
      <c r="B194" s="49" t="inlineStr">
        <is>
          <t>Reforço</t>
        </is>
      </c>
      <c r="C194" s="38" t="inlineStr">
        <is>
          <t>REF05</t>
        </is>
      </c>
      <c r="D194" s="38" t="inlineStr">
        <is>
          <t>REFORÇO ESTRUTURAL EM BARRA MACIÇA ATÉ 200KG</t>
        </is>
      </c>
      <c r="E194" s="38" t="inlineStr">
        <is>
          <t>Kg</t>
        </is>
      </c>
      <c r="F194" s="39" t="n"/>
      <c r="G194" s="86" t="n"/>
      <c r="H194" s="87">
        <f>G194*F194</f>
        <v/>
      </c>
    </row>
    <row r="195" hidden="1">
      <c r="B195" s="49" t="inlineStr">
        <is>
          <t>Reforço</t>
        </is>
      </c>
      <c r="C195" s="38" t="inlineStr">
        <is>
          <t>REF06</t>
        </is>
      </c>
      <c r="D195" s="38" t="inlineStr">
        <is>
          <t>REFORÇO ESTRUTURAL EM BARRA MACIÇA DE 200 ATÉ 500KG</t>
        </is>
      </c>
      <c r="E195" s="88" t="inlineStr">
        <is>
          <t>Kg</t>
        </is>
      </c>
      <c r="F195" s="39" t="n"/>
      <c r="G195" s="86" t="n"/>
      <c r="H195" s="87">
        <f>G195*F195</f>
        <v/>
      </c>
    </row>
    <row r="196" hidden="1">
      <c r="B196" s="49" t="inlineStr">
        <is>
          <t>Reforço</t>
        </is>
      </c>
      <c r="C196" s="38" t="inlineStr">
        <is>
          <t>REF07</t>
        </is>
      </c>
      <c r="D196" s="38" t="inlineStr">
        <is>
          <t>REFORÇO ESTRUTURAL EM BARRA MACIÇA DE 500 ATÉ 1000KG</t>
        </is>
      </c>
      <c r="E196" s="38" t="inlineStr">
        <is>
          <t>Kg</t>
        </is>
      </c>
      <c r="F196" s="39" t="n"/>
      <c r="G196" s="86" t="n"/>
      <c r="H196" s="87">
        <f>G196*F196</f>
        <v/>
      </c>
    </row>
    <row r="197" hidden="1">
      <c r="B197" s="49" t="inlineStr">
        <is>
          <t>Reforço</t>
        </is>
      </c>
      <c r="C197" s="38" t="inlineStr">
        <is>
          <t>REF08</t>
        </is>
      </c>
      <c r="D197" s="38" t="inlineStr">
        <is>
          <t>REFORÇO ESTRUTURAL EM BARRA MACIÇA ACIMA DE 1000KG</t>
        </is>
      </c>
      <c r="E197" s="88" t="inlineStr">
        <is>
          <t>Kg</t>
        </is>
      </c>
      <c r="F197" s="39" t="n"/>
      <c r="G197" s="86" t="n"/>
      <c r="H197" s="87">
        <f>G197*F197</f>
        <v/>
      </c>
    </row>
    <row r="198" hidden="1">
      <c r="B198" s="49" t="inlineStr">
        <is>
          <t>Reforço</t>
        </is>
      </c>
      <c r="C198" s="38" t="inlineStr">
        <is>
          <t>REF09</t>
        </is>
      </c>
      <c r="D198" s="38" t="inlineStr">
        <is>
          <t>PERFIL DOBRADO ATÉ 200KG</t>
        </is>
      </c>
      <c r="E198" s="38" t="inlineStr">
        <is>
          <t>Kg</t>
        </is>
      </c>
      <c r="F198" s="39" t="n"/>
      <c r="G198" s="86" t="n"/>
      <c r="H198" s="87">
        <f>G198*F198</f>
        <v/>
      </c>
    </row>
    <row r="199" hidden="1">
      <c r="B199" s="49" t="inlineStr">
        <is>
          <t>Reforço</t>
        </is>
      </c>
      <c r="C199" s="38" t="inlineStr">
        <is>
          <t>REF10</t>
        </is>
      </c>
      <c r="D199" s="38" t="inlineStr">
        <is>
          <t>PERFIL DOBRADO DE 200 ATÉ 500KG</t>
        </is>
      </c>
      <c r="E199" s="88" t="inlineStr">
        <is>
          <t>Kg</t>
        </is>
      </c>
      <c r="F199" s="39" t="n"/>
      <c r="G199" s="86" t="n"/>
      <c r="H199" s="87">
        <f>G199*F199</f>
        <v/>
      </c>
    </row>
    <row r="200" hidden="1">
      <c r="B200" s="49" t="inlineStr">
        <is>
          <t>Reforço</t>
        </is>
      </c>
      <c r="C200" s="38" t="inlineStr">
        <is>
          <t>REF11</t>
        </is>
      </c>
      <c r="D200" s="38" t="inlineStr">
        <is>
          <t>PERFIL DOBRADO DE 500 ATÉ 1000KG</t>
        </is>
      </c>
      <c r="E200" s="38" t="inlineStr">
        <is>
          <t>Kg</t>
        </is>
      </c>
      <c r="F200" s="39" t="n"/>
      <c r="G200" s="86" t="n"/>
      <c r="H200" s="87">
        <f>G200*F200</f>
        <v/>
      </c>
    </row>
    <row r="201" hidden="1">
      <c r="B201" s="49" t="inlineStr">
        <is>
          <t>Reforço</t>
        </is>
      </c>
      <c r="C201" s="38" t="inlineStr">
        <is>
          <t>REF12</t>
        </is>
      </c>
      <c r="D201" s="38" t="inlineStr">
        <is>
          <t>PERFIL DOBRADO ACIMA DE 1000KG</t>
        </is>
      </c>
      <c r="E201" s="88" t="inlineStr">
        <is>
          <t>Kg</t>
        </is>
      </c>
      <c r="F201" s="39" t="n"/>
      <c r="G201" s="86" t="n"/>
      <c r="H201" s="87">
        <f>G201*F201</f>
        <v/>
      </c>
    </row>
    <row r="202" hidden="1">
      <c r="B202" s="49" t="inlineStr">
        <is>
          <t>Reforço</t>
        </is>
      </c>
      <c r="C202" s="38" t="inlineStr">
        <is>
          <t>REF13</t>
        </is>
      </c>
      <c r="D202" s="38" t="inlineStr">
        <is>
          <t>CLIPES E CHAPAS</t>
        </is>
      </c>
      <c r="E202" s="38" t="inlineStr">
        <is>
          <t>Kg</t>
        </is>
      </c>
      <c r="F202" s="39" t="n"/>
      <c r="G202" s="86" t="n"/>
      <c r="H202" s="87">
        <f>G202*F202</f>
        <v/>
      </c>
    </row>
    <row r="203" hidden="1">
      <c r="B203" s="49" t="inlineStr">
        <is>
          <t>Reforço</t>
        </is>
      </c>
      <c r="C203" s="38" t="inlineStr">
        <is>
          <t>REF14</t>
        </is>
      </c>
      <c r="D203" s="38" t="inlineStr">
        <is>
          <t>FORNECIMENTO E APLICAÇÃO DE CODBOLT ATÉ 5/8"</t>
        </is>
      </c>
      <c r="E203" s="88" t="inlineStr">
        <is>
          <t>Unid.</t>
        </is>
      </c>
      <c r="F203" s="39" t="n"/>
      <c r="G203" s="86" t="n"/>
      <c r="H203" s="87">
        <f>G203*F203</f>
        <v/>
      </c>
    </row>
    <row r="204" hidden="1">
      <c r="B204" s="49" t="inlineStr">
        <is>
          <t>Reforço</t>
        </is>
      </c>
      <c r="C204" s="38" t="inlineStr">
        <is>
          <t>REF15</t>
        </is>
      </c>
      <c r="D204" s="38" t="inlineStr">
        <is>
          <t>FORNECIMENTO E APLICAÇÃO DE CODBOLT  DE 3/4" OU ACIMA</t>
        </is>
      </c>
      <c r="E204" s="38" t="inlineStr">
        <is>
          <t>Unid.</t>
        </is>
      </c>
      <c r="F204" s="39" t="n"/>
      <c r="G204" s="86" t="n"/>
      <c r="H204" s="87">
        <f>G204*F204</f>
        <v/>
      </c>
    </row>
    <row r="205" hidden="1">
      <c r="B205" s="49" t="inlineStr">
        <is>
          <t>Reforço</t>
        </is>
      </c>
      <c r="C205" s="38" t="inlineStr">
        <is>
          <t>REF16</t>
        </is>
      </c>
      <c r="D205" s="38" t="inlineStr">
        <is>
          <t xml:space="preserve">FUROS EM ESTRUTURA </t>
        </is>
      </c>
      <c r="E205" s="88" t="inlineStr">
        <is>
          <t>Unid.</t>
        </is>
      </c>
      <c r="F205" s="39" t="n"/>
      <c r="G205" s="86" t="n"/>
      <c r="H205" s="87">
        <f>G205*F205</f>
        <v/>
      </c>
    </row>
    <row r="206" hidden="1">
      <c r="B206" s="49" t="inlineStr">
        <is>
          <t>Reforço</t>
        </is>
      </c>
      <c r="C206" s="38" t="inlineStr">
        <is>
          <t>REF17</t>
        </is>
      </c>
      <c r="D206" s="38" t="inlineStr">
        <is>
          <t>MONTAGEM DE REFORÇO ESTRUTURAS</t>
        </is>
      </c>
      <c r="E206" s="38" t="inlineStr">
        <is>
          <t>Kg</t>
        </is>
      </c>
      <c r="F206" s="39" t="n"/>
      <c r="G206" s="86" t="n"/>
      <c r="H206" s="87">
        <f>G206*F206</f>
        <v/>
      </c>
    </row>
    <row r="207" hidden="1">
      <c r="B207" s="49" t="inlineStr">
        <is>
          <t>Reforço</t>
        </is>
      </c>
      <c r="C207" s="38" t="inlineStr">
        <is>
          <t>REF18</t>
        </is>
      </c>
      <c r="D207" s="38" t="inlineStr">
        <is>
          <t>DESMONTAGEM DE ESTRUTURA E OU REFORÇO EXISTENTE</t>
        </is>
      </c>
      <c r="E207" s="88" t="inlineStr">
        <is>
          <t>Kg</t>
        </is>
      </c>
      <c r="F207" s="39" t="n"/>
      <c r="G207" s="86" t="n"/>
      <c r="H207" s="87">
        <f>G207*F207</f>
        <v/>
      </c>
    </row>
    <row r="208" hidden="1">
      <c r="B208" s="49" t="inlineStr">
        <is>
          <t>Reforço</t>
        </is>
      </c>
      <c r="C208" s="38" t="inlineStr">
        <is>
          <t>REF19</t>
        </is>
      </c>
      <c r="D208" s="38" t="inlineStr">
        <is>
          <t>SUBSTITUIÇÃO DE PARAFUSOS</t>
        </is>
      </c>
      <c r="E208" s="38" t="inlineStr">
        <is>
          <t>Kg</t>
        </is>
      </c>
      <c r="F208" s="39" t="n"/>
      <c r="G208" s="86" t="n"/>
      <c r="H208" s="87">
        <f>G208*F208</f>
        <v/>
      </c>
    </row>
    <row r="209" hidden="1">
      <c r="B209" s="49" t="inlineStr">
        <is>
          <t>Reforço</t>
        </is>
      </c>
      <c r="C209" s="38" t="inlineStr">
        <is>
          <t>REF20</t>
        </is>
      </c>
      <c r="D209" s="38" t="inlineStr">
        <is>
          <t>PINTURA</t>
        </is>
      </c>
      <c r="E209" s="88" t="inlineStr">
        <is>
          <t>Kg</t>
        </is>
      </c>
      <c r="F209" s="39" t="n"/>
      <c r="G209" s="86" t="n"/>
      <c r="H209" s="87">
        <f>G209*F209</f>
        <v/>
      </c>
    </row>
    <row r="210" hidden="1">
      <c r="B210" s="49" t="inlineStr">
        <is>
          <t>Reforço</t>
        </is>
      </c>
      <c r="C210" s="38" t="inlineStr">
        <is>
          <t>REF21</t>
        </is>
      </c>
      <c r="D210" s="38" t="inlineStr">
        <is>
          <t>MOBILIZAÇÃO DE EQUIPE DE MONTAGEM</t>
        </is>
      </c>
      <c r="E210" s="38" t="inlineStr">
        <is>
          <t>Vb</t>
        </is>
      </c>
      <c r="F210" s="39" t="n"/>
      <c r="G210" s="86" t="n"/>
      <c r="H210" s="87">
        <f>G210*F210</f>
        <v/>
      </c>
    </row>
    <row r="211" hidden="1">
      <c r="B211" s="49" t="inlineStr">
        <is>
          <t>Reforço</t>
        </is>
      </c>
      <c r="C211" s="38" t="inlineStr">
        <is>
          <t>REF22</t>
        </is>
      </c>
      <c r="D211" s="38" t="inlineStr">
        <is>
          <t>REAPERTO GERAL EV</t>
        </is>
      </c>
      <c r="E211" s="88" t="inlineStr">
        <is>
          <t>Vb</t>
        </is>
      </c>
      <c r="F211" s="39" t="n"/>
      <c r="G211" s="86" t="n"/>
      <c r="H211" s="87">
        <f>G211*F211</f>
        <v/>
      </c>
    </row>
    <row r="212" hidden="1">
      <c r="B212" s="49" t="inlineStr">
        <is>
          <t>Reforço</t>
        </is>
      </c>
      <c r="C212" s="38" t="inlineStr">
        <is>
          <t>REF23</t>
        </is>
      </c>
      <c r="D212" s="38" t="inlineStr">
        <is>
          <t>REPAROS NA ESTRUTURA/TRATAMENTO OXIDAÇÃO</t>
        </is>
      </c>
      <c r="E212" s="38" t="inlineStr">
        <is>
          <t>Kg</t>
        </is>
      </c>
      <c r="F212" s="39" t="n"/>
      <c r="G212" s="86" t="n"/>
      <c r="H212" s="87">
        <f>G212*F212</f>
        <v/>
      </c>
    </row>
    <row r="213" hidden="1">
      <c r="B213" s="49" t="inlineStr">
        <is>
          <t>Reforço</t>
        </is>
      </c>
      <c r="C213" s="38" t="inlineStr">
        <is>
          <t>REF24</t>
        </is>
      </c>
      <c r="D213" s="38" t="inlineStr">
        <is>
          <t>FORNECIMENTO CHUMBADORES</t>
        </is>
      </c>
      <c r="E213" s="88" t="inlineStr">
        <is>
          <t>Unid.</t>
        </is>
      </c>
      <c r="F213" s="39" t="n"/>
      <c r="G213" s="86" t="n"/>
      <c r="H213" s="87">
        <f>G213*F213</f>
        <v/>
      </c>
    </row>
    <row r="214" hidden="1">
      <c r="B214" s="49" t="inlineStr">
        <is>
          <t>Reforço</t>
        </is>
      </c>
      <c r="C214" s="38" t="inlineStr">
        <is>
          <t>REF25</t>
        </is>
      </c>
      <c r="D214" s="38" t="inlineStr">
        <is>
          <t>VISTORIA PARA DETALHAMENTO/PROJETO DE FABRICAÇÃO</t>
        </is>
      </c>
      <c r="E214" s="38" t="inlineStr">
        <is>
          <t>Vb</t>
        </is>
      </c>
      <c r="F214" s="39" t="n"/>
      <c r="G214" s="86" t="n"/>
      <c r="H214" s="87">
        <f>G214*F214</f>
        <v/>
      </c>
    </row>
    <row r="215" hidden="1">
      <c r="B215" s="49" t="inlineStr">
        <is>
          <t>Reforço</t>
        </is>
      </c>
      <c r="C215" s="38" t="inlineStr">
        <is>
          <t>REF26</t>
        </is>
      </c>
      <c r="D215" s="38" t="inlineStr">
        <is>
          <t>REMANEJAMENTO BTS</t>
        </is>
      </c>
      <c r="E215" s="88" t="inlineStr">
        <is>
          <t>Vb</t>
        </is>
      </c>
      <c r="F215" s="39" t="n"/>
      <c r="G215" s="86" t="n"/>
      <c r="H215" s="87">
        <f>G215*F215</f>
        <v/>
      </c>
    </row>
    <row r="216" hidden="1">
      <c r="B216" s="49" t="inlineStr">
        <is>
          <t>Reforço</t>
        </is>
      </c>
      <c r="C216" s="38" t="inlineStr">
        <is>
          <t>REF27</t>
        </is>
      </c>
      <c r="D216" s="38" t="inlineStr">
        <is>
          <t>REMANEJAMENTO DE ESTEIRAMENTO</t>
        </is>
      </c>
      <c r="E216" s="38" t="inlineStr">
        <is>
          <t>Vb</t>
        </is>
      </c>
      <c r="F216" s="39" t="n"/>
      <c r="G216" s="86" t="n"/>
      <c r="H216" s="87">
        <f>G216*F216</f>
        <v/>
      </c>
    </row>
    <row r="217" hidden="1">
      <c r="B217" s="49" t="inlineStr">
        <is>
          <t>Reforço</t>
        </is>
      </c>
      <c r="C217" s="38" t="inlineStr">
        <is>
          <t>REF28</t>
        </is>
      </c>
      <c r="D217" s="38" t="inlineStr">
        <is>
          <t>REMANEJAMENTO RF</t>
        </is>
      </c>
      <c r="E217" s="88" t="inlineStr">
        <is>
          <t>Pç</t>
        </is>
      </c>
      <c r="F217" s="39" t="n"/>
      <c r="G217" s="86" t="n"/>
      <c r="H217" s="87">
        <f>G217*F217</f>
        <v/>
      </c>
    </row>
    <row r="218" hidden="1">
      <c r="B218" s="49" t="inlineStr">
        <is>
          <t>Reforço</t>
        </is>
      </c>
      <c r="C218" s="38" t="inlineStr">
        <is>
          <t>REF29</t>
        </is>
      </c>
      <c r="D218" s="38" t="inlineStr">
        <is>
          <t>REMANEJAMENTO MW</t>
        </is>
      </c>
      <c r="E218" s="38" t="inlineStr">
        <is>
          <t>Pç</t>
        </is>
      </c>
      <c r="F218" s="39" t="n"/>
      <c r="G218" s="86" t="n"/>
      <c r="H218" s="87">
        <f>G218*F218</f>
        <v/>
      </c>
    </row>
    <row r="219" hidden="1">
      <c r="B219" s="49" t="inlineStr">
        <is>
          <t>Reforço</t>
        </is>
      </c>
      <c r="C219" s="38" t="inlineStr">
        <is>
          <t>REF30</t>
        </is>
      </c>
      <c r="D219" s="38" t="inlineStr">
        <is>
          <t>SUPORTE DE ANTENAS RF</t>
        </is>
      </c>
      <c r="E219" s="88" t="inlineStr">
        <is>
          <t>Pç</t>
        </is>
      </c>
      <c r="F219" s="39" t="n"/>
      <c r="G219" s="86" t="n"/>
      <c r="H219" s="87">
        <f>G219*F219</f>
        <v/>
      </c>
    </row>
    <row r="220" hidden="1">
      <c r="B220" s="49" t="inlineStr">
        <is>
          <t>Reforço</t>
        </is>
      </c>
      <c r="C220" s="38" t="inlineStr">
        <is>
          <t>REF31</t>
        </is>
      </c>
      <c r="D220" s="38" t="inlineStr">
        <is>
          <t>SUPORTE  DE ANTENAS MW</t>
        </is>
      </c>
      <c r="E220" s="38" t="inlineStr">
        <is>
          <t>Pç</t>
        </is>
      </c>
      <c r="F220" s="39" t="n"/>
      <c r="G220" s="86" t="n"/>
      <c r="H220" s="87">
        <f>G220*F220</f>
        <v/>
      </c>
    </row>
    <row r="221" hidden="1">
      <c r="B221" s="49" t="inlineStr">
        <is>
          <t>Reforço</t>
        </is>
      </c>
      <c r="C221" s="38" t="inlineStr">
        <is>
          <t>REF32</t>
        </is>
      </c>
      <c r="D221" s="38" t="inlineStr">
        <is>
          <t>CONCRETO 20 MPA LANÇADO - EXCLUSA TAXA DE BOMBEAMENTO</t>
        </is>
      </c>
      <c r="E221" s="88" t="inlineStr">
        <is>
          <t>m³</t>
        </is>
      </c>
      <c r="F221" s="39" t="n"/>
      <c r="G221" s="86" t="n"/>
      <c r="H221" s="87">
        <f>G221*F221</f>
        <v/>
      </c>
    </row>
    <row r="222" hidden="1">
      <c r="B222" s="49" t="inlineStr">
        <is>
          <t>Reforço</t>
        </is>
      </c>
      <c r="C222" s="38" t="inlineStr">
        <is>
          <t>REF33</t>
        </is>
      </c>
      <c r="D222" s="38" t="inlineStr">
        <is>
          <t>CONCRETO 25 MPA LANÇADO - EXCLUSA TAXA DE BOMBEAMENTO</t>
        </is>
      </c>
      <c r="E222" s="38" t="inlineStr">
        <is>
          <t>m³</t>
        </is>
      </c>
      <c r="F222" s="39" t="n"/>
      <c r="G222" s="86" t="n"/>
      <c r="H222" s="87">
        <f>G222*F222</f>
        <v/>
      </c>
    </row>
    <row r="223" hidden="1">
      <c r="B223" s="49" t="inlineStr">
        <is>
          <t>Reforço</t>
        </is>
      </c>
      <c r="C223" s="38" t="inlineStr">
        <is>
          <t>REF34</t>
        </is>
      </c>
      <c r="D223" s="38" t="inlineStr">
        <is>
          <t>CONCRETO 20 MPA RODADO EM OBRA - COM ACOMPANHAMENTO TECNICO</t>
        </is>
      </c>
      <c r="E223" s="88" t="inlineStr">
        <is>
          <t>m³</t>
        </is>
      </c>
      <c r="F223" s="39" t="n"/>
      <c r="G223" s="86" t="n"/>
      <c r="H223" s="87">
        <f>G223*F223</f>
        <v/>
      </c>
    </row>
    <row r="224" hidden="1">
      <c r="B224" s="49" t="inlineStr">
        <is>
          <t>Reforço</t>
        </is>
      </c>
      <c r="C224" s="38" t="inlineStr">
        <is>
          <t>REF35</t>
        </is>
      </c>
      <c r="D224" s="38" t="inlineStr">
        <is>
          <t>CONCRETO 25 MPA RODADO EM OBRA - COM ACOMPANHAMENTO TECNICO</t>
        </is>
      </c>
      <c r="E224" s="38" t="inlineStr">
        <is>
          <t>m³</t>
        </is>
      </c>
      <c r="F224" s="39" t="n"/>
      <c r="G224" s="86" t="n"/>
      <c r="H224" s="87">
        <f>G224*F224</f>
        <v/>
      </c>
    </row>
    <row r="225" hidden="1">
      <c r="B225" s="49" t="inlineStr">
        <is>
          <t>Reforço</t>
        </is>
      </c>
      <c r="C225" s="38" t="inlineStr">
        <is>
          <t>REF36</t>
        </is>
      </c>
      <c r="D225" s="38" t="inlineStr">
        <is>
          <t>TAXA DE BOMBEAMENTO POR REGIAO</t>
        </is>
      </c>
      <c r="E225" s="88" t="inlineStr">
        <is>
          <t>Vb</t>
        </is>
      </c>
      <c r="F225" s="39" t="n"/>
      <c r="G225" s="86" t="n"/>
      <c r="H225" s="87">
        <f>G225*F225</f>
        <v/>
      </c>
    </row>
    <row r="226" hidden="1">
      <c r="B226" s="49" t="inlineStr">
        <is>
          <t>Reforço</t>
        </is>
      </c>
      <c r="C226" s="38" t="inlineStr">
        <is>
          <t>REF37</t>
        </is>
      </c>
      <c r="D226" s="38" t="inlineStr">
        <is>
          <t>FORMAS</t>
        </is>
      </c>
      <c r="E226" s="38" t="inlineStr">
        <is>
          <t>m²</t>
        </is>
      </c>
      <c r="F226" s="39" t="n"/>
      <c r="G226" s="86" t="n"/>
      <c r="H226" s="87">
        <f>G226*F226</f>
        <v/>
      </c>
    </row>
    <row r="227" hidden="1">
      <c r="B227" s="49" t="inlineStr">
        <is>
          <t>Reforço</t>
        </is>
      </c>
      <c r="C227" s="38" t="inlineStr">
        <is>
          <t>REF38</t>
        </is>
      </c>
      <c r="D227" s="38" t="inlineStr">
        <is>
          <t xml:space="preserve">ESCAVAÇÃO </t>
        </is>
      </c>
      <c r="E227" s="88" t="inlineStr">
        <is>
          <t>m³</t>
        </is>
      </c>
      <c r="F227" s="39" t="n"/>
      <c r="G227" s="86" t="n"/>
      <c r="H227" s="87">
        <f>G227*F227</f>
        <v/>
      </c>
    </row>
    <row r="228" hidden="1">
      <c r="B228" s="49" t="inlineStr">
        <is>
          <t>Reforço</t>
        </is>
      </c>
      <c r="C228" s="38" t="inlineStr">
        <is>
          <t>REF39</t>
        </is>
      </c>
      <c r="D228" s="38" t="inlineStr">
        <is>
          <t>BOTA FORA</t>
        </is>
      </c>
      <c r="E228" s="38" t="inlineStr">
        <is>
          <t>m³</t>
        </is>
      </c>
      <c r="F228" s="39" t="n"/>
      <c r="G228" s="86" t="n"/>
      <c r="H228" s="87">
        <f>G228*F228</f>
        <v/>
      </c>
    </row>
    <row r="229" hidden="1">
      <c r="B229" s="49" t="inlineStr">
        <is>
          <t>Reforço</t>
        </is>
      </c>
      <c r="C229" s="38" t="inlineStr">
        <is>
          <t>REF40</t>
        </is>
      </c>
      <c r="D229" s="38" t="inlineStr">
        <is>
          <t>REATERRO</t>
        </is>
      </c>
      <c r="E229" s="88" t="inlineStr">
        <is>
          <t>m³</t>
        </is>
      </c>
      <c r="F229" s="39" t="n"/>
      <c r="G229" s="86" t="n"/>
      <c r="H229" s="87">
        <f>G229*F229</f>
        <v/>
      </c>
    </row>
    <row r="230" hidden="1">
      <c r="B230" s="49" t="inlineStr">
        <is>
          <t>Reforço</t>
        </is>
      </c>
      <c r="C230" s="38" t="inlineStr">
        <is>
          <t>REF41</t>
        </is>
      </c>
      <c r="D230" s="38" t="inlineStr">
        <is>
          <t>FURAÇÃO E APLICAÇÃO DE RESINA EPOXI EM BASES DE CONCRETO</t>
        </is>
      </c>
      <c r="E230" s="38" t="inlineStr">
        <is>
          <t>Unid.</t>
        </is>
      </c>
      <c r="F230" s="39" t="n"/>
      <c r="G230" s="86" t="n"/>
      <c r="H230" s="87">
        <f>G230*F230</f>
        <v/>
      </c>
    </row>
    <row r="231" hidden="1">
      <c r="B231" s="49" t="inlineStr">
        <is>
          <t>Reforço</t>
        </is>
      </c>
      <c r="C231" s="38" t="inlineStr">
        <is>
          <t>REF42</t>
        </is>
      </c>
      <c r="D231" s="38" t="inlineStr">
        <is>
          <t>EXECUÇÃO DE FUNDAÇÃO RADIER (MÃO DE OBRA)</t>
        </is>
      </c>
      <c r="E231" s="88" t="inlineStr">
        <is>
          <t>m³</t>
        </is>
      </c>
      <c r="F231" s="39" t="n"/>
      <c r="G231" s="86" t="n"/>
      <c r="H231" s="87">
        <f>G231*F231</f>
        <v/>
      </c>
    </row>
    <row r="232" hidden="1">
      <c r="B232" s="49" t="inlineStr">
        <is>
          <t>Reforço</t>
        </is>
      </c>
      <c r="C232" s="38" t="inlineStr">
        <is>
          <t>REF43</t>
        </is>
      </c>
      <c r="D232" s="38" t="inlineStr">
        <is>
          <t>EXECUÇÃO DE ESTACA RAIZ EM SOLO</t>
        </is>
      </c>
      <c r="E232" s="38" t="inlineStr">
        <is>
          <t>m</t>
        </is>
      </c>
      <c r="F232" s="39" t="n"/>
      <c r="G232" s="86" t="n"/>
      <c r="H232" s="87">
        <f>G232*F232</f>
        <v/>
      </c>
    </row>
    <row r="233" hidden="1">
      <c r="B233" s="49" t="inlineStr">
        <is>
          <t>Reforço</t>
        </is>
      </c>
      <c r="C233" s="38" t="inlineStr">
        <is>
          <t>REF44</t>
        </is>
      </c>
      <c r="D233" s="38" t="inlineStr">
        <is>
          <t>EXECUÇÃO DE ESTACA RAIZ EM ROCHA</t>
        </is>
      </c>
      <c r="E233" s="88" t="inlineStr">
        <is>
          <t>m</t>
        </is>
      </c>
      <c r="F233" s="39" t="n"/>
      <c r="G233" s="86" t="n"/>
      <c r="H233" s="87">
        <f>G233*F233</f>
        <v/>
      </c>
    </row>
    <row r="234" hidden="1">
      <c r="B234" s="49" t="inlineStr">
        <is>
          <t>Reforço</t>
        </is>
      </c>
      <c r="C234" s="38" t="inlineStr">
        <is>
          <t>REF45</t>
        </is>
      </c>
      <c r="D234" s="38" t="inlineStr">
        <is>
          <t>COMPRESSOR ESTACA RAIZ (PARA EXECUÇÃO DE ESTACAS EM ROCHA)</t>
        </is>
      </c>
      <c r="E234" s="38" t="inlineStr">
        <is>
          <t>Vb</t>
        </is>
      </c>
      <c r="F234" s="39" t="n"/>
      <c r="G234" s="86" t="n"/>
      <c r="H234" s="87">
        <f>G234*F234</f>
        <v/>
      </c>
    </row>
    <row r="235" hidden="1">
      <c r="B235" s="49" t="inlineStr">
        <is>
          <t>Reforço</t>
        </is>
      </c>
      <c r="C235" s="38" t="inlineStr">
        <is>
          <t>REF46</t>
        </is>
      </c>
      <c r="D235" s="38" t="inlineStr">
        <is>
          <t>MOBILIZAÇÃO PARA EQUIPAMENTOS DE ESTACA RAIZ</t>
        </is>
      </c>
      <c r="E235" s="88" t="inlineStr">
        <is>
          <t>Vb</t>
        </is>
      </c>
      <c r="F235" s="39" t="n"/>
      <c r="G235" s="86" t="n"/>
      <c r="H235" s="87">
        <f>G235*F235</f>
        <v/>
      </c>
    </row>
    <row r="236" hidden="1">
      <c r="B236" s="49" t="inlineStr">
        <is>
          <t>Reforço</t>
        </is>
      </c>
      <c r="C236" s="38" t="inlineStr">
        <is>
          <t>REF47</t>
        </is>
      </c>
      <c r="D236" s="38" t="inlineStr">
        <is>
          <t>AGUA PARA EXECUÇÃO DE ESTACAS ( SOMENTE SE NÃO INCLUSO NO ITEM MACRO PELO FORNECEDOR)</t>
        </is>
      </c>
      <c r="E236" s="38" t="inlineStr">
        <is>
          <t>Vb</t>
        </is>
      </c>
      <c r="F236" s="39" t="n"/>
      <c r="G236" s="86" t="n"/>
      <c r="H236" s="87">
        <f>G236*F236</f>
        <v/>
      </c>
    </row>
    <row r="237" hidden="1">
      <c r="B237" s="49" t="inlineStr">
        <is>
          <t>Reforço</t>
        </is>
      </c>
      <c r="C237" s="38" t="inlineStr">
        <is>
          <t>REF48</t>
        </is>
      </c>
      <c r="D237" s="38" t="inlineStr">
        <is>
          <t>MOBILIZAÇÃO DE EQUIPE DE FUNDAÇÃO</t>
        </is>
      </c>
      <c r="E237" s="88" t="inlineStr">
        <is>
          <t>Vb</t>
        </is>
      </c>
      <c r="F237" s="39" t="n"/>
      <c r="G237" s="86" t="n"/>
      <c r="H237" s="87">
        <f>G237*F237</f>
        <v/>
      </c>
    </row>
    <row r="238" hidden="1">
      <c r="B238" s="49" t="inlineStr">
        <is>
          <t>Reforço</t>
        </is>
      </c>
      <c r="C238" s="38" t="inlineStr">
        <is>
          <t>REF49</t>
        </is>
      </c>
      <c r="D238" s="38" t="inlineStr">
        <is>
          <t>FRETE DE MATERIAIS ATÉ A OBRA</t>
        </is>
      </c>
      <c r="E238" s="38" t="inlineStr">
        <is>
          <t>Vb</t>
        </is>
      </c>
      <c r="F238" s="39" t="n"/>
      <c r="G238" s="86" t="n"/>
      <c r="H238" s="87">
        <f>G238*F238</f>
        <v/>
      </c>
    </row>
    <row r="239" hidden="1">
      <c r="B239" s="49" t="inlineStr">
        <is>
          <t>Reforço</t>
        </is>
      </c>
      <c r="C239" s="38" t="inlineStr">
        <is>
          <t>REF50</t>
        </is>
      </c>
      <c r="D239" s="38" t="inlineStr">
        <is>
          <t>LEVANTAMENTO PLANIALTIMÉTRICO</t>
        </is>
      </c>
      <c r="E239" s="88" t="inlineStr">
        <is>
          <t>Vb</t>
        </is>
      </c>
      <c r="F239" s="39" t="n"/>
      <c r="G239" s="86" t="n"/>
      <c r="H239" s="87">
        <f>G239*F239</f>
        <v/>
      </c>
    </row>
    <row r="240" hidden="1">
      <c r="B240" s="49" t="inlineStr">
        <is>
          <t>Reforço</t>
        </is>
      </c>
      <c r="C240" s="38" t="inlineStr">
        <is>
          <t>REF51</t>
        </is>
      </c>
      <c r="D240" s="38" t="inlineStr">
        <is>
          <t>SONDAGEM ATÉ 2 FUROS</t>
        </is>
      </c>
      <c r="E240" s="38" t="inlineStr">
        <is>
          <t>Vb</t>
        </is>
      </c>
      <c r="F240" s="39" t="n"/>
      <c r="G240" s="86" t="n"/>
      <c r="H240" s="87">
        <f>G240*F240</f>
        <v/>
      </c>
    </row>
    <row r="241" hidden="1">
      <c r="B241" s="49" t="inlineStr">
        <is>
          <t>Reforço</t>
        </is>
      </c>
      <c r="C241" s="38" t="inlineStr">
        <is>
          <t>REF52</t>
        </is>
      </c>
      <c r="D241" s="38" t="inlineStr">
        <is>
          <t>FORNECIMENTO E INSTALAÇÃO DE PARAFUSOS 3/4"</t>
        </is>
      </c>
      <c r="E241" s="88" t="inlineStr">
        <is>
          <t>Pç</t>
        </is>
      </c>
      <c r="F241" s="39" t="n"/>
      <c r="G241" s="86" t="n"/>
      <c r="H241" s="87">
        <f>G241*F241</f>
        <v/>
      </c>
    </row>
    <row r="242" hidden="1">
      <c r="B242" s="49" t="inlineStr">
        <is>
          <t>Reforço</t>
        </is>
      </c>
      <c r="C242" s="38" t="inlineStr">
        <is>
          <t>REF53</t>
        </is>
      </c>
      <c r="D242" s="38" t="inlineStr">
        <is>
          <t>EXECUÇÃO DE FUROS EM BLOCO DE CONCRETO PARA FIXAÇÃO DOS CHUMBADORES</t>
        </is>
      </c>
      <c r="E242" s="38" t="inlineStr">
        <is>
          <t>Vb</t>
        </is>
      </c>
      <c r="F242" s="39" t="n"/>
      <c r="G242" s="86" t="n"/>
      <c r="H242" s="87">
        <f>G242*F242</f>
        <v/>
      </c>
    </row>
    <row r="243" hidden="1">
      <c r="B243" s="49" t="inlineStr">
        <is>
          <t>Reforço</t>
        </is>
      </c>
      <c r="C243" s="38" t="inlineStr">
        <is>
          <t>REF54</t>
        </is>
      </c>
      <c r="D243" s="38" t="inlineStr">
        <is>
          <t>MANUTENÇÃO CORRETIVA</t>
        </is>
      </c>
      <c r="E243" s="88" t="inlineStr">
        <is>
          <t>Vb</t>
        </is>
      </c>
      <c r="F243" s="39" t="n"/>
      <c r="G243" s="86" t="n"/>
      <c r="H243" s="87">
        <f>G243*F243</f>
        <v/>
      </c>
    </row>
    <row r="244" hidden="1">
      <c r="B244" s="49" t="inlineStr">
        <is>
          <t>Reforço</t>
        </is>
      </c>
      <c r="C244" s="38" t="inlineStr">
        <is>
          <t>REF55</t>
        </is>
      </c>
      <c r="D244" s="38" t="inlineStr">
        <is>
          <t xml:space="preserve">FORNECIMENTO E INSTALAÇÃO DE PARA RAIOS CONFORME PROJETO </t>
        </is>
      </c>
      <c r="E244" s="38" t="inlineStr">
        <is>
          <t>Vb</t>
        </is>
      </c>
      <c r="F244" s="39" t="n"/>
      <c r="G244" s="86" t="n"/>
      <c r="H244" s="87">
        <f>G244*F244</f>
        <v/>
      </c>
    </row>
    <row r="245" hidden="1">
      <c r="B245" s="49" t="inlineStr">
        <is>
          <t>Reforço</t>
        </is>
      </c>
      <c r="C245" s="38" t="inlineStr">
        <is>
          <t>REF56</t>
        </is>
      </c>
      <c r="D245" s="38" t="inlineStr">
        <is>
          <t>FORNECIMENTO E INSTALAÇÃO DE PLATAFORMA</t>
        </is>
      </c>
      <c r="E245" s="88" t="inlineStr">
        <is>
          <t>Kg</t>
        </is>
      </c>
      <c r="F245" s="39" t="n"/>
      <c r="G245" s="86" t="n"/>
      <c r="H245" s="87">
        <f>G245*F245</f>
        <v/>
      </c>
    </row>
    <row r="246" hidden="1">
      <c r="B246" s="49" t="inlineStr">
        <is>
          <t>Reforço</t>
        </is>
      </c>
      <c r="C246" s="38" t="inlineStr">
        <is>
          <t>REF57</t>
        </is>
      </c>
      <c r="D246" s="38" t="inlineStr">
        <is>
          <t xml:space="preserve">FORNECIMENTO DE BALIZAMENTO SOLAR </t>
        </is>
      </c>
      <c r="E246" s="38" t="inlineStr">
        <is>
          <t>Unid.</t>
        </is>
      </c>
      <c r="F246" s="39" t="n"/>
      <c r="G246" s="86" t="n"/>
      <c r="H246" s="87">
        <f>G246*F246</f>
        <v/>
      </c>
    </row>
    <row r="247" hidden="1">
      <c r="B247" s="49" t="inlineStr">
        <is>
          <t>Reforço</t>
        </is>
      </c>
      <c r="C247" s="38" t="inlineStr">
        <is>
          <t>REF58</t>
        </is>
      </c>
      <c r="D247" s="38" t="inlineStr">
        <is>
          <t>JANELA DE MANUTENÇÃO 2 OPERADORA  ( REMANEJAMENTO DE CABOS E  ANTENAS)</t>
        </is>
      </c>
      <c r="E247" s="88" t="inlineStr">
        <is>
          <t>Vb</t>
        </is>
      </c>
      <c r="F247" s="39" t="n"/>
      <c r="G247" s="86" t="n"/>
      <c r="H247" s="87">
        <f>G247*F247</f>
        <v/>
      </c>
    </row>
    <row r="248" hidden="1">
      <c r="B248" s="49" t="inlineStr">
        <is>
          <t>Reforço</t>
        </is>
      </c>
      <c r="C248" s="38" t="inlineStr">
        <is>
          <t>REF59</t>
        </is>
      </c>
      <c r="D248" s="38" t="inlineStr">
        <is>
          <t xml:space="preserve">REMANEJAMENTO DE ANTENA MW EM JANELA DE MANUTENÇÃO COM ALINHAMENTO </t>
        </is>
      </c>
      <c r="E248" s="38" t="inlineStr">
        <is>
          <t>Unid.</t>
        </is>
      </c>
      <c r="F248" s="39" t="n"/>
      <c r="G248" s="86" t="n"/>
      <c r="H248" s="87">
        <f>G248*F248</f>
        <v/>
      </c>
    </row>
    <row r="249" hidden="1">
      <c r="B249" s="49" t="inlineStr">
        <is>
          <t>Reforço</t>
        </is>
      </c>
      <c r="C249" s="38" t="inlineStr">
        <is>
          <t>REF60</t>
        </is>
      </c>
      <c r="D249" s="38" t="inlineStr">
        <is>
          <t xml:space="preserve">TRATAMENTO DE PEÇAS OXIDADAS CONFORME INFORMADO EM PROJETO </t>
        </is>
      </c>
      <c r="E249" s="88" t="inlineStr">
        <is>
          <t>Vb</t>
        </is>
      </c>
      <c r="F249" s="39" t="n"/>
      <c r="G249" s="86" t="n"/>
      <c r="H249" s="87">
        <f>G249*F249</f>
        <v/>
      </c>
    </row>
    <row r="250" hidden="1">
      <c r="B250" s="49" t="inlineStr">
        <is>
          <t>Reforço</t>
        </is>
      </c>
      <c r="C250" s="38" t="inlineStr">
        <is>
          <t>REF61</t>
        </is>
      </c>
      <c r="D250" s="38" t="inlineStr">
        <is>
          <t xml:space="preserve">FORNECIMENTO E INSTALAÇÃO DE SUPORTES DUPLO PADRÃO TIM </t>
        </is>
      </c>
      <c r="E250" s="38" t="inlineStr">
        <is>
          <t>Unid.</t>
        </is>
      </c>
      <c r="F250" s="39" t="n"/>
      <c r="G250" s="86" t="n"/>
      <c r="H250" s="87">
        <f>G250*F250</f>
        <v/>
      </c>
    </row>
    <row r="251" hidden="1">
      <c r="B251" s="49" t="inlineStr">
        <is>
          <t>Reforço</t>
        </is>
      </c>
      <c r="C251" s="38" t="inlineStr">
        <is>
          <t>REF62</t>
        </is>
      </c>
      <c r="D251" s="38" t="inlineStr">
        <is>
          <t xml:space="preserve">ALINHAR ESTRUTURA VERTICAL </t>
        </is>
      </c>
      <c r="E251" s="88" t="inlineStr">
        <is>
          <t>Vb</t>
        </is>
      </c>
      <c r="F251" s="39" t="n"/>
      <c r="G251" s="86" t="n"/>
      <c r="H251" s="87">
        <f>G251*F251</f>
        <v/>
      </c>
    </row>
    <row r="252" hidden="1">
      <c r="B252" s="49" t="inlineStr">
        <is>
          <t>Roof Top</t>
        </is>
      </c>
      <c r="C252" s="38" t="inlineStr">
        <is>
          <t>RFT01</t>
        </is>
      </c>
      <c r="D252" s="38" t="inlineStr">
        <is>
          <t>Demolição de telhado existente</t>
        </is>
      </c>
      <c r="E252" s="38" t="inlineStr">
        <is>
          <t>m²</t>
        </is>
      </c>
      <c r="F252" s="39" t="n"/>
      <c r="G252" s="86" t="n"/>
      <c r="H252" s="87">
        <f>G252*F252</f>
        <v/>
      </c>
    </row>
    <row r="253" hidden="1">
      <c r="B253" s="49" t="inlineStr">
        <is>
          <t>Roof Top</t>
        </is>
      </c>
      <c r="C253" s="38" t="inlineStr">
        <is>
          <t>RFT02</t>
        </is>
      </c>
      <c r="D253" s="38" t="inlineStr">
        <is>
          <t>Recomposição de telhado</t>
        </is>
      </c>
      <c r="E253" s="88" t="inlineStr">
        <is>
          <t>m²</t>
        </is>
      </c>
      <c r="F253" s="39" t="n"/>
      <c r="G253" s="86" t="n"/>
      <c r="H253" s="87">
        <f>G253*F253</f>
        <v/>
      </c>
    </row>
    <row r="254" hidden="1">
      <c r="B254" s="49" t="inlineStr">
        <is>
          <t>Roof Top</t>
        </is>
      </c>
      <c r="C254" s="38" t="inlineStr">
        <is>
          <t>RFT03</t>
        </is>
      </c>
      <c r="D254" s="38" t="inlineStr">
        <is>
          <t>Adicional Metálico / Reforço Metálico para Rooftop (PROJETO NÃO INCLUSO)</t>
        </is>
      </c>
      <c r="E254" s="38" t="inlineStr">
        <is>
          <t>Kg</t>
        </is>
      </c>
      <c r="F254" s="39" t="n"/>
      <c r="G254" s="86" t="n"/>
      <c r="H254" s="87">
        <f>G254*F254</f>
        <v/>
      </c>
    </row>
    <row r="255" hidden="1">
      <c r="B255" s="49" t="inlineStr">
        <is>
          <t>Roof Top</t>
        </is>
      </c>
      <c r="C255" s="38" t="inlineStr">
        <is>
          <t>RFT04</t>
        </is>
      </c>
      <c r="D255" s="38" t="inlineStr">
        <is>
          <t xml:space="preserve">Conector FCI Barra - Para esteira </t>
        </is>
      </c>
      <c r="E255" s="88" t="inlineStr">
        <is>
          <t>un</t>
        </is>
      </c>
      <c r="F255" s="39" t="n"/>
      <c r="G255" s="86" t="n">
        <v>178.2</v>
      </c>
      <c r="H255" s="87">
        <f>G255*F255</f>
        <v/>
      </c>
    </row>
    <row r="256" hidden="1">
      <c r="B256" s="49" t="inlineStr">
        <is>
          <t>Roof Top</t>
        </is>
      </c>
      <c r="C256" s="38" t="inlineStr">
        <is>
          <t>RFT05</t>
        </is>
      </c>
      <c r="D256" s="38" t="inlineStr">
        <is>
          <t>Conector FCI Torre</t>
        </is>
      </c>
      <c r="E256" s="38" t="inlineStr">
        <is>
          <t>un</t>
        </is>
      </c>
      <c r="F256" s="39" t="n"/>
      <c r="G256" s="86" t="n">
        <v>230</v>
      </c>
      <c r="H256" s="87">
        <f>G256*F256</f>
        <v/>
      </c>
    </row>
    <row r="257" hidden="1">
      <c r="B257" s="49" t="inlineStr">
        <is>
          <t>Roof Top</t>
        </is>
      </c>
      <c r="C257" s="38" t="inlineStr">
        <is>
          <t>RFT06</t>
        </is>
      </c>
      <c r="D257" s="38" t="inlineStr">
        <is>
          <t xml:space="preserve">Luminária </t>
        </is>
      </c>
      <c r="E257" s="88" t="inlineStr">
        <is>
          <t>un</t>
        </is>
      </c>
      <c r="F257" s="39" t="n"/>
      <c r="G257" s="86" t="n"/>
      <c r="H257" s="87">
        <f>G257*F257</f>
        <v/>
      </c>
    </row>
    <row r="258" hidden="1">
      <c r="B258" s="49" t="inlineStr">
        <is>
          <t>Roof Top</t>
        </is>
      </c>
      <c r="C258" s="38" t="inlineStr">
        <is>
          <t>RFT07</t>
        </is>
      </c>
      <c r="D258" s="38" t="inlineStr">
        <is>
          <t>Luminária com poste</t>
        </is>
      </c>
      <c r="E258" s="38" t="inlineStr">
        <is>
          <t>un</t>
        </is>
      </c>
      <c r="F258" s="39" t="n"/>
      <c r="G258" s="86" t="n">
        <v>3764.21</v>
      </c>
      <c r="H258" s="87">
        <f>G258*F258</f>
        <v/>
      </c>
    </row>
    <row r="259" hidden="1">
      <c r="B259" s="49" t="inlineStr">
        <is>
          <t>Roof Top</t>
        </is>
      </c>
      <c r="C259" s="38" t="inlineStr">
        <is>
          <t>RFT08</t>
        </is>
      </c>
      <c r="D259" s="38" t="inlineStr">
        <is>
          <t>Acessórios metálicos (mastro, costela de vaca, esteira horizontal, suportes de antena adicionais, escada marinheiro e guarda-corpo)</t>
        </is>
      </c>
      <c r="E259" s="88" t="inlineStr">
        <is>
          <t>Kg</t>
        </is>
      </c>
      <c r="F259" s="39" t="n"/>
      <c r="G259" s="86" t="n">
        <v>54.25</v>
      </c>
      <c r="H259" s="87">
        <f>G259*F259</f>
        <v/>
      </c>
    </row>
    <row r="260" hidden="1">
      <c r="B260" s="49" t="inlineStr">
        <is>
          <t>Roof Top</t>
        </is>
      </c>
      <c r="C260" s="38" t="inlineStr">
        <is>
          <t>RFT09</t>
        </is>
      </c>
      <c r="D260" s="38" t="inlineStr">
        <is>
          <t>Bloco de concreto</t>
        </is>
      </c>
      <c r="E260" s="38" t="inlineStr">
        <is>
          <t>un</t>
        </is>
      </c>
      <c r="F260" s="39" t="n"/>
      <c r="G260" s="86" t="n">
        <v>330</v>
      </c>
      <c r="H260" s="87">
        <f>G260*F260</f>
        <v/>
      </c>
    </row>
    <row r="261" hidden="1">
      <c r="B261" s="49" t="inlineStr">
        <is>
          <t>Roof Top</t>
        </is>
      </c>
      <c r="C261" s="38" t="inlineStr">
        <is>
          <t>RFT10</t>
        </is>
      </c>
      <c r="D261" s="38" t="inlineStr">
        <is>
          <t>Seal Tube 1''</t>
        </is>
      </c>
      <c r="E261" s="88" t="inlineStr">
        <is>
          <t>m</t>
        </is>
      </c>
      <c r="F261" s="39" t="n"/>
      <c r="G261" s="86" t="n"/>
      <c r="H261" s="87">
        <f>G261*F261</f>
        <v/>
      </c>
    </row>
    <row r="262" hidden="1">
      <c r="B262" s="49" t="inlineStr">
        <is>
          <t>Roof Top</t>
        </is>
      </c>
      <c r="C262" s="38" t="inlineStr">
        <is>
          <t>RFT11</t>
        </is>
      </c>
      <c r="D262" s="38" t="inlineStr">
        <is>
          <t>Seal Tube 2''</t>
        </is>
      </c>
      <c r="E262" s="38" t="inlineStr">
        <is>
          <t>m</t>
        </is>
      </c>
      <c r="F262" s="39" t="n"/>
      <c r="G262" s="86" t="n"/>
      <c r="H262" s="87">
        <f>G262*F262</f>
        <v/>
      </c>
    </row>
    <row r="263" hidden="1">
      <c r="B263" s="49" t="inlineStr">
        <is>
          <t>Roof Top</t>
        </is>
      </c>
      <c r="C263" s="38" t="inlineStr">
        <is>
          <t>RFT12</t>
        </is>
      </c>
      <c r="D263" s="38" t="inlineStr">
        <is>
          <t>Tubulação 2" Galvanizada à fogo</t>
        </is>
      </c>
      <c r="E263" s="88" t="inlineStr">
        <is>
          <t>m</t>
        </is>
      </c>
      <c r="F263" s="39" t="n"/>
      <c r="G263" s="86" t="n">
        <v>73</v>
      </c>
      <c r="H263" s="87">
        <f>G263*F263</f>
        <v/>
      </c>
    </row>
    <row r="264" hidden="1">
      <c r="B264" s="49" t="inlineStr">
        <is>
          <t>Roof Top</t>
        </is>
      </c>
      <c r="C264" s="38" t="inlineStr">
        <is>
          <t>RFT13</t>
        </is>
      </c>
      <c r="D264" s="38" t="inlineStr">
        <is>
          <t>Tubulação 3" Galvanizada à fogo</t>
        </is>
      </c>
      <c r="E264" s="38" t="inlineStr">
        <is>
          <t>m</t>
        </is>
      </c>
      <c r="F264" s="39" t="n"/>
      <c r="G264" s="86" t="n"/>
      <c r="H264" s="87">
        <f>G264*F264</f>
        <v/>
      </c>
    </row>
    <row r="265" hidden="1">
      <c r="B265" s="49" t="inlineStr">
        <is>
          <t>Roof Top</t>
        </is>
      </c>
      <c r="C265" s="38" t="inlineStr">
        <is>
          <t>RFT14</t>
        </is>
      </c>
      <c r="D265" s="38" t="inlineStr">
        <is>
          <t>Tubulação 2" PVC</t>
        </is>
      </c>
      <c r="E265" s="88" t="inlineStr">
        <is>
          <t>m</t>
        </is>
      </c>
      <c r="F265" s="39" t="n"/>
      <c r="G265" s="86" t="n"/>
      <c r="H265" s="87">
        <f>G265*F265</f>
        <v/>
      </c>
    </row>
    <row r="266" hidden="1">
      <c r="B266" s="49" t="inlineStr">
        <is>
          <t>Roof Top</t>
        </is>
      </c>
      <c r="C266" s="38" t="inlineStr">
        <is>
          <t>RFT15</t>
        </is>
      </c>
      <c r="D266" s="38" t="inlineStr">
        <is>
          <t>Balizamento noturno LED - Com fotocélula</t>
        </is>
      </c>
      <c r="E266" s="38" t="inlineStr">
        <is>
          <t>un</t>
        </is>
      </c>
      <c r="F266" s="39" t="n"/>
      <c r="G266" s="86" t="n"/>
      <c r="H266" s="87">
        <f>G266*F266</f>
        <v/>
      </c>
    </row>
    <row r="267" hidden="1">
      <c r="B267" s="49" t="inlineStr">
        <is>
          <t>Roof Top</t>
        </is>
      </c>
      <c r="C267" s="38" t="inlineStr">
        <is>
          <t>RFT16</t>
        </is>
      </c>
      <c r="D267" s="38" t="inlineStr">
        <is>
          <t>Cabo Multiplex Alum - 4 vias 35mm</t>
        </is>
      </c>
      <c r="E267" s="88" t="inlineStr">
        <is>
          <t>m</t>
        </is>
      </c>
      <c r="F267" s="39" t="n"/>
      <c r="G267" s="86" t="n"/>
      <c r="H267" s="87">
        <f>G267*F267</f>
        <v/>
      </c>
    </row>
    <row r="268" hidden="1">
      <c r="B268" s="49" t="inlineStr">
        <is>
          <t>Roof Top</t>
        </is>
      </c>
      <c r="C268" s="38" t="inlineStr">
        <is>
          <t>RFT17</t>
        </is>
      </c>
      <c r="D268" s="38" t="inlineStr">
        <is>
          <t>Cabo flexível #10mm² isol. 750V - qualquer cor</t>
        </is>
      </c>
      <c r="E268" s="38" t="inlineStr">
        <is>
          <t>m</t>
        </is>
      </c>
      <c r="F268" s="39" t="n"/>
      <c r="G268" s="86" t="n"/>
      <c r="H268" s="87">
        <f>G268*F268</f>
        <v/>
      </c>
    </row>
    <row r="269" hidden="1">
      <c r="B269" s="49" t="inlineStr">
        <is>
          <t>Roof Top</t>
        </is>
      </c>
      <c r="C269" s="38" t="inlineStr">
        <is>
          <t>RFT18</t>
        </is>
      </c>
      <c r="D269" s="38" t="inlineStr">
        <is>
          <t>Cabo flexível #25mm² isol. 750V - qualquer cor</t>
        </is>
      </c>
      <c r="E269" s="88" t="inlineStr">
        <is>
          <t>m</t>
        </is>
      </c>
      <c r="F269" s="39" t="n"/>
      <c r="G269" s="86" t="n"/>
      <c r="H269" s="87">
        <f>G269*F269</f>
        <v/>
      </c>
    </row>
    <row r="270">
      <c r="B270" s="49" t="inlineStr">
        <is>
          <t>Roof Top</t>
        </is>
      </c>
      <c r="C270" s="38" t="inlineStr">
        <is>
          <t>RFT19</t>
        </is>
      </c>
      <c r="D270" s="38" t="inlineStr">
        <is>
          <t>Cabo flexível #35mm² isol. 750V - qualquer cor</t>
        </is>
      </c>
      <c r="E270" s="38" t="inlineStr">
        <is>
          <t>m</t>
        </is>
      </c>
      <c r="F270" s="39" t="n"/>
      <c r="G270" s="86" t="n">
        <v>52</v>
      </c>
      <c r="H270" s="87">
        <f>G270*F270</f>
        <v/>
      </c>
    </row>
    <row r="271" hidden="1">
      <c r="B271" s="49" t="inlineStr">
        <is>
          <t>Roof Top</t>
        </is>
      </c>
      <c r="C271" s="38" t="inlineStr">
        <is>
          <t>RFT20</t>
        </is>
      </c>
      <c r="D271" s="38" t="inlineStr">
        <is>
          <t>Cabo flexível #50mm² isol. 750V - qualquer cor</t>
        </is>
      </c>
      <c r="E271" s="88" t="inlineStr">
        <is>
          <t>m</t>
        </is>
      </c>
      <c r="F271" s="39" t="n"/>
      <c r="G271" s="86" t="n">
        <v>70</v>
      </c>
      <c r="H271" s="87">
        <f>G271*F271</f>
        <v/>
      </c>
    </row>
    <row r="272" hidden="1">
      <c r="B272" s="49" t="inlineStr">
        <is>
          <t>Roof Top</t>
        </is>
      </c>
      <c r="C272" s="38" t="inlineStr">
        <is>
          <t>RFT21</t>
        </is>
      </c>
      <c r="D272" s="38" t="inlineStr">
        <is>
          <t xml:space="preserve">Cabo flexível #10mm² isol.  0,6/1,0Kv </t>
        </is>
      </c>
      <c r="E272" s="38" t="inlineStr">
        <is>
          <t>m</t>
        </is>
      </c>
      <c r="F272" s="39" t="n"/>
      <c r="G272" s="86" t="n"/>
      <c r="H272" s="87">
        <f>G272*F272</f>
        <v/>
      </c>
    </row>
    <row r="273" hidden="1">
      <c r="B273" s="49" t="inlineStr">
        <is>
          <t>Roof Top</t>
        </is>
      </c>
      <c r="C273" s="38" t="inlineStr">
        <is>
          <t>RFT22</t>
        </is>
      </c>
      <c r="D273" s="38" t="inlineStr">
        <is>
          <t xml:space="preserve">Cabo flexível #16mm² isol.  0,6/1,0Kv </t>
        </is>
      </c>
      <c r="E273" s="88" t="inlineStr">
        <is>
          <t>m</t>
        </is>
      </c>
      <c r="F273" s="39" t="n"/>
      <c r="G273" s="86" t="n">
        <v>34</v>
      </c>
      <c r="H273" s="87">
        <f>G273*F273</f>
        <v/>
      </c>
    </row>
    <row r="274" hidden="1">
      <c r="B274" s="49" t="inlineStr">
        <is>
          <t>Roof Top</t>
        </is>
      </c>
      <c r="C274" s="38" t="inlineStr">
        <is>
          <t>RFT23</t>
        </is>
      </c>
      <c r="D274" s="38" t="inlineStr">
        <is>
          <t>Caixa de alumínio</t>
        </is>
      </c>
      <c r="E274" s="38" t="inlineStr">
        <is>
          <t>un</t>
        </is>
      </c>
      <c r="F274" s="39" t="n"/>
      <c r="G274" s="86" t="n">
        <v>867</v>
      </c>
      <c r="H274" s="87">
        <f>G274*F274</f>
        <v/>
      </c>
    </row>
    <row r="275" hidden="1">
      <c r="B275" s="49" t="inlineStr">
        <is>
          <t>Roof Top</t>
        </is>
      </c>
      <c r="C275" s="38" t="inlineStr">
        <is>
          <t>RFT24</t>
        </is>
      </c>
      <c r="D275" s="38" t="inlineStr">
        <is>
          <t>Impermeabilização (área total da laje / cobertura)</t>
        </is>
      </c>
      <c r="E275" s="88" t="inlineStr">
        <is>
          <t>m²</t>
        </is>
      </c>
      <c r="F275" s="39" t="n"/>
      <c r="G275" s="86" t="n"/>
      <c r="H275" s="87">
        <f>G275*F275</f>
        <v/>
      </c>
    </row>
    <row r="276" hidden="1">
      <c r="B276" s="49" t="inlineStr">
        <is>
          <t>Roof Top</t>
        </is>
      </c>
      <c r="C276" s="38" t="inlineStr">
        <is>
          <t>RFT25</t>
        </is>
      </c>
      <c r="D276" s="38" t="inlineStr">
        <is>
          <t>Malha de aterramento Roof Top</t>
        </is>
      </c>
      <c r="E276" s="38" t="inlineStr">
        <is>
          <t>m</t>
        </is>
      </c>
      <c r="F276" s="39" t="n"/>
      <c r="G276" s="86" t="n">
        <v>190</v>
      </c>
      <c r="H276" s="87">
        <f>G276*F276</f>
        <v/>
      </c>
    </row>
    <row r="277" hidden="1">
      <c r="B277" s="55" t="inlineStr">
        <is>
          <t>Roof Top</t>
        </is>
      </c>
      <c r="C277" s="56" t="inlineStr">
        <is>
          <t>RFT26</t>
        </is>
      </c>
      <c r="D277" s="56" t="inlineStr">
        <is>
          <t>Segunda Mobilização (acima de 500Km da sede da companhia)</t>
        </is>
      </c>
      <c r="E277" s="91" t="inlineStr">
        <is>
          <t>un</t>
        </is>
      </c>
      <c r="F277" s="58" t="n"/>
      <c r="G277" s="86" t="n"/>
      <c r="H277" s="92">
        <f>G277*F277</f>
        <v/>
      </c>
    </row>
    <row r="279">
      <c r="B279" s="68" t="inlineStr">
        <is>
          <t>OBSERVAÇÕES</t>
        </is>
      </c>
      <c r="C279" s="13" t="n"/>
      <c r="D279" s="13" t="n"/>
      <c r="E279" s="13" t="n"/>
      <c r="F279" s="13" t="n"/>
      <c r="G279" s="13" t="n"/>
      <c r="H279" s="13" t="n"/>
    </row>
    <row r="280">
      <c r="B280" s="84" t="n"/>
      <c r="C280" s="13" t="n"/>
      <c r="D280" s="13" t="n"/>
      <c r="E280" s="13" t="n"/>
      <c r="F280" s="13" t="n"/>
      <c r="G280" s="13" t="n"/>
      <c r="H280" s="13" t="n"/>
    </row>
    <row r="281" ht="15" customHeight="1" thickBot="1">
      <c r="B281" s="2" t="n"/>
      <c r="C281" s="2" t="n"/>
      <c r="D281" s="2" t="n"/>
      <c r="E281" s="2" t="n"/>
      <c r="F281" s="2" t="n"/>
      <c r="G281" s="2" t="n"/>
      <c r="H281" s="2" t="n"/>
    </row>
    <row r="282" ht="15" customHeight="1" thickTop="1">
      <c r="B282" s="3" t="inlineStr">
        <is>
          <t>Obs. Nº</t>
        </is>
      </c>
      <c r="C282" s="3" t="inlineStr">
        <is>
          <t>Item</t>
        </is>
      </c>
      <c r="D282" s="3" t="inlineStr">
        <is>
          <t>Descrição da Atividade</t>
        </is>
      </c>
      <c r="E282" s="93" t="inlineStr">
        <is>
          <t>Observação:</t>
        </is>
      </c>
      <c r="F282" s="94" t="n"/>
      <c r="G282" s="94" t="n"/>
      <c r="H282" s="95" t="n"/>
    </row>
    <row r="283">
      <c r="B283" s="9" t="n">
        <v>1</v>
      </c>
      <c r="C283" s="19" t="n"/>
      <c r="D283" s="9" t="n"/>
      <c r="E283" s="96" t="n"/>
      <c r="F283" s="97" t="n"/>
      <c r="G283" s="97" t="n"/>
      <c r="H283" s="98" t="n"/>
    </row>
    <row r="284">
      <c r="B284" s="9" t="n">
        <v>2</v>
      </c>
      <c r="C284" s="19" t="n"/>
      <c r="D284" s="9">
        <f>IFERROR(VLOOKUP(C284,Quantitativos!$C$12:$E$277,2,0),"")</f>
        <v/>
      </c>
      <c r="E284" s="99" t="n"/>
      <c r="F284" s="97" t="n"/>
      <c r="G284" s="97" t="n"/>
      <c r="H284" s="98" t="n"/>
    </row>
    <row r="285">
      <c r="B285" s="9" t="n">
        <v>3</v>
      </c>
      <c r="C285" s="19" t="n"/>
      <c r="D285" s="9">
        <f>IFERROR(VLOOKUP(C285,Quantitativos!$C$12:$E$277,2,0),"")</f>
        <v/>
      </c>
      <c r="E285" s="99" t="n"/>
      <c r="F285" s="97" t="n"/>
      <c r="G285" s="97" t="n"/>
      <c r="H285" s="98" t="n"/>
    </row>
    <row r="286">
      <c r="B286" s="9" t="n">
        <v>4</v>
      </c>
      <c r="C286" s="19" t="n"/>
      <c r="D286" s="9">
        <f>IFERROR(VLOOKUP(C286,Quantitativos!$C$12:$E$277,2,0),"")</f>
        <v/>
      </c>
      <c r="E286" s="99" t="n"/>
      <c r="F286" s="97" t="n"/>
      <c r="G286" s="97" t="n"/>
      <c r="H286" s="98" t="n"/>
    </row>
    <row r="287">
      <c r="B287" s="9" t="n">
        <v>5</v>
      </c>
      <c r="C287" s="19" t="n"/>
      <c r="D287" s="9">
        <f>IFERROR(VLOOKUP(C287,Quantitativos!$C$12:$E$277,2,0),"")</f>
        <v/>
      </c>
      <c r="E287" s="99" t="n"/>
      <c r="F287" s="97" t="n"/>
      <c r="G287" s="97" t="n"/>
      <c r="H287" s="98" t="n"/>
    </row>
    <row r="288">
      <c r="B288" s="9" t="n">
        <v>6</v>
      </c>
      <c r="C288" s="19" t="n"/>
      <c r="D288" s="9">
        <f>IFERROR(VLOOKUP(C288,Quantitativos!$C$12:$E$277,2,0),"")</f>
        <v/>
      </c>
      <c r="E288" s="99" t="n"/>
      <c r="F288" s="97" t="n"/>
      <c r="G288" s="97" t="n"/>
      <c r="H288" s="98" t="n"/>
    </row>
    <row r="289">
      <c r="B289" s="9" t="n">
        <v>7</v>
      </c>
      <c r="C289" s="19" t="n"/>
      <c r="D289" s="9">
        <f>IFERROR(VLOOKUP(C289,Quantitativos!$C$12:$E$277,2,0),"")</f>
        <v/>
      </c>
      <c r="E289" s="99" t="n"/>
      <c r="F289" s="97" t="n"/>
      <c r="G289" s="97" t="n"/>
      <c r="H289" s="98" t="n"/>
    </row>
    <row r="290">
      <c r="B290" s="9" t="n">
        <v>8</v>
      </c>
      <c r="C290" s="19" t="n"/>
      <c r="D290" s="9">
        <f>IFERROR(VLOOKUP(C290,Quantitativos!$C$12:$E$277,2,0),"")</f>
        <v/>
      </c>
      <c r="E290" s="99" t="n"/>
      <c r="F290" s="97" t="n"/>
      <c r="G290" s="97" t="n"/>
      <c r="H290" s="98" t="n"/>
    </row>
    <row r="291">
      <c r="B291" s="9" t="n">
        <v>9</v>
      </c>
      <c r="C291" s="19" t="n"/>
      <c r="D291" s="9">
        <f>IFERROR(VLOOKUP(C291,Quantitativos!$C$12:$E$277,2,0),"")</f>
        <v/>
      </c>
      <c r="E291" s="99" t="n"/>
      <c r="F291" s="97" t="n"/>
      <c r="G291" s="97" t="n"/>
      <c r="H291" s="98" t="n"/>
    </row>
    <row r="292">
      <c r="B292" s="9" t="n">
        <v>10</v>
      </c>
      <c r="C292" s="19" t="n"/>
      <c r="D292" s="9">
        <f>IFERROR(VLOOKUP(C292,Quantitativos!$C$12:$E$277,2,0),"")</f>
        <v/>
      </c>
      <c r="E292" s="99" t="n"/>
      <c r="F292" s="97" t="n"/>
      <c r="G292" s="97" t="n"/>
      <c r="H292" s="98" t="n"/>
    </row>
  </sheetData>
  <mergeCells count="14">
    <mergeCell ref="B279:H280"/>
    <mergeCell ref="E282:H282"/>
    <mergeCell ref="E290:H290"/>
    <mergeCell ref="E286:H286"/>
    <mergeCell ref="E291:H291"/>
    <mergeCell ref="E289:H289"/>
    <mergeCell ref="E285:H285"/>
    <mergeCell ref="B4:H5"/>
    <mergeCell ref="D1:D2"/>
    <mergeCell ref="E283:H283"/>
    <mergeCell ref="E284:H284"/>
    <mergeCell ref="E292:H292"/>
    <mergeCell ref="E287:H287"/>
    <mergeCell ref="E288:H288"/>
  </mergeCells>
  <dataValidations disablePrompts="1" count="6">
    <dataValidation sqref="F26" showDropDown="0" showInputMessage="1" showErrorMessage="1" allowBlank="1" type="decimal">
      <formula1>0</formula1>
      <formula2>20</formula2>
    </dataValidation>
    <dataValidation sqref="F27" showDropDown="0" showInputMessage="1" showErrorMessage="1" allowBlank="1" type="decimal">
      <formula1>20</formula1>
      <formula2>50</formula2>
    </dataValidation>
    <dataValidation sqref="F28" showDropDown="0" showInputMessage="1" showErrorMessage="1" allowBlank="1" type="decimal">
      <formula1>50</formula1>
      <formula2>80</formula2>
    </dataValidation>
    <dataValidation sqref="C283:C292" showDropDown="0" showInputMessage="1" showErrorMessage="1" allowBlank="1" type="list">
      <formula1>$C$12:$C$277</formula1>
    </dataValidation>
    <dataValidation sqref="F29" showDropDown="0" showInputMessage="1" showErrorMessage="1" allowBlank="1" type="whole">
      <formula1>80</formula1>
      <formula2>100</formula2>
    </dataValidation>
    <dataValidation sqref="F30" showDropDown="0" showInputMessage="1" showErrorMessage="1" allowBlank="1" type="whole">
      <formula1>100</formula1>
      <formula2>200</formula2>
    </dataValidation>
  </dataValidations>
  <pageMargins left="0.511811024" right="0.511811024" top="0.787401575" bottom="0.787401575" header="0.31496062" footer="0.31496062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3">
    <outlinePr summaryBelow="1" summaryRight="1"/>
    <pageSetUpPr/>
  </sheetPr>
  <dimension ref="A1:F23"/>
  <sheetViews>
    <sheetView showGridLines="0" showRowColHeaders="0" tabSelected="1" zoomScale="70" zoomScaleNormal="70" workbookViewId="0">
      <selection activeCell="A4" sqref="A4"/>
    </sheetView>
  </sheetViews>
  <sheetFormatPr baseColWidth="8" defaultColWidth="37.33203125" defaultRowHeight="14.4"/>
  <cols>
    <col width="34.44140625" bestFit="1" customWidth="1" min="1" max="1"/>
    <col width="29.77734375" customWidth="1" min="2" max="2"/>
    <col width="8.77734375" customWidth="1" min="3" max="3"/>
    <col width="37.33203125" customWidth="1" min="4" max="5"/>
    <col width="37.33203125" customWidth="1" style="37" min="6" max="6"/>
    <col width="37.33203125" customWidth="1" min="7" max="9"/>
  </cols>
  <sheetData>
    <row r="1" ht="24.6" customHeight="1" thickBot="1" thickTop="1">
      <c r="A1" s="7" t="inlineStr">
        <is>
          <t>SITE ID HIGHLINE</t>
        </is>
      </c>
      <c r="B1" s="16" t="inlineStr">
        <is>
          <t>PV MÉDIO CONSOLIDADO</t>
        </is>
      </c>
      <c r="C1" s="2" t="n"/>
    </row>
    <row r="2" ht="24.6" customHeight="1" thickBot="1" thickTop="1">
      <c r="A2" s="8" t="inlineStr">
        <is>
          <t>UF</t>
        </is>
      </c>
      <c r="B2" s="16" t="inlineStr">
        <is>
          <t>TODOS</t>
        </is>
      </c>
      <c r="C2" s="2" t="n"/>
    </row>
    <row r="3" ht="24" customHeight="1" thickTop="1">
      <c r="A3" s="7" t="inlineStr">
        <is>
          <t>REGIÃO</t>
        </is>
      </c>
      <c r="B3" s="16" t="inlineStr">
        <is>
          <t>CONSOLIDADO</t>
        </is>
      </c>
      <c r="C3" s="2" t="n"/>
    </row>
    <row r="4">
      <c r="A4" s="2" t="n"/>
      <c r="B4" s="2" t="n"/>
      <c r="C4" s="2" t="n"/>
    </row>
    <row r="5" ht="23.55" customHeight="1">
      <c r="A5" s="2" t="n"/>
      <c r="B5" s="2" t="n"/>
      <c r="C5" s="2" t="n"/>
    </row>
    <row r="6" ht="23.4" customHeight="1">
      <c r="A6" s="4" t="inlineStr">
        <is>
          <t>Item</t>
        </is>
      </c>
      <c r="B6" s="5" t="inlineStr">
        <is>
          <t>R$</t>
        </is>
      </c>
    </row>
    <row r="7" ht="23.4" customHeight="1">
      <c r="A7" s="46" t="inlineStr">
        <is>
          <t>Serviços de Engenharia</t>
        </is>
      </c>
      <c r="B7" s="100">
        <f>SUM(Quantitativos!H12:H23)</f>
        <v/>
      </c>
    </row>
    <row r="8" ht="23.4" customHeight="1">
      <c r="A8" s="46" t="inlineStr">
        <is>
          <t>Fundação</t>
        </is>
      </c>
      <c r="B8" s="100">
        <f>SUM(Quantitativos!H24:H47)</f>
        <v/>
      </c>
      <c r="C8" s="2" t="n"/>
    </row>
    <row r="9" ht="23.4" customHeight="1">
      <c r="A9" s="46" t="inlineStr">
        <is>
          <t>Fechamento</t>
        </is>
      </c>
      <c r="B9" s="100">
        <f>SUM(Quantitativos!H48:H59)</f>
        <v/>
      </c>
      <c r="C9" s="2" t="n"/>
    </row>
    <row r="10" ht="23.4" customHeight="1">
      <c r="A10" s="46" t="inlineStr">
        <is>
          <t>Área Construída</t>
        </is>
      </c>
      <c r="B10" s="100">
        <f>SUM(Quantitativos!H60:H71)</f>
        <v/>
      </c>
      <c r="C10" s="6" t="n"/>
    </row>
    <row r="11" ht="23.4" customHeight="1">
      <c r="A11" s="46" t="inlineStr">
        <is>
          <t>Energia</t>
        </is>
      </c>
      <c r="B11" s="100">
        <f>SUM(Quantitativos!H72:H103)</f>
        <v/>
      </c>
      <c r="C11" s="2" t="n"/>
    </row>
    <row r="12" ht="23.4" customHeight="1">
      <c r="A12" s="46" t="inlineStr">
        <is>
          <t>Extensão de Rede</t>
        </is>
      </c>
      <c r="B12" s="100">
        <f>SUM(Quantitativos!H126:H161)</f>
        <v/>
      </c>
      <c r="C12" s="2" t="n"/>
    </row>
    <row r="13" ht="23.4" customHeight="1">
      <c r="A13" s="46" t="inlineStr">
        <is>
          <t>Acesso</t>
        </is>
      </c>
      <c r="B13" s="100">
        <f>SUM(Quantitativos!H162:H163)</f>
        <v/>
      </c>
      <c r="C13" s="2" t="n"/>
    </row>
    <row r="14" ht="23.4" customHeight="1">
      <c r="A14" s="46" t="inlineStr">
        <is>
          <t>Itens complementares</t>
        </is>
      </c>
      <c r="B14" s="100">
        <f>SUM(Quantitativos!H104:H120)</f>
        <v/>
      </c>
      <c r="C14" s="2" t="n"/>
    </row>
    <row r="15" ht="23.4" customHeight="1">
      <c r="A15" s="46" t="inlineStr">
        <is>
          <t>Transporte</t>
        </is>
      </c>
      <c r="B15" s="100">
        <f>SUM(Quantitativos!H185:H189)</f>
        <v/>
      </c>
      <c r="C15" s="2" t="n"/>
    </row>
    <row r="16" ht="23.4" customHeight="1">
      <c r="A16" s="46" t="inlineStr">
        <is>
          <t>Montagem</t>
        </is>
      </c>
      <c r="B16" s="100">
        <f>SUM(Quantitativos!H164:H183)</f>
        <v/>
      </c>
      <c r="C16" s="2" t="n"/>
    </row>
    <row r="17" ht="23.4" customHeight="1">
      <c r="A17" s="46" t="inlineStr">
        <is>
          <t>Acessórios EV</t>
        </is>
      </c>
      <c r="B17" s="100">
        <f>SUM(Quantitativos!H116:H125)</f>
        <v/>
      </c>
      <c r="C17" s="2" t="n"/>
    </row>
    <row r="18" ht="23.4" customHeight="1">
      <c r="A18" s="46" t="inlineStr">
        <is>
          <t>Roof Top</t>
        </is>
      </c>
      <c r="B18" s="100">
        <f>SUM(Quantitativos!H252:H277)</f>
        <v/>
      </c>
      <c r="C18" s="2" t="n"/>
    </row>
    <row r="19" ht="23.4" customHeight="1">
      <c r="A19" s="46" t="inlineStr">
        <is>
          <t>Reforço</t>
        </is>
      </c>
      <c r="B19" s="100">
        <f>SUM(Quantitativos!H190:H277)</f>
        <v/>
      </c>
      <c r="C19" s="2" t="n"/>
    </row>
    <row r="20" ht="23.4" customHeight="1">
      <c r="A20" s="4" t="inlineStr">
        <is>
          <t>TOTAL R$</t>
        </is>
      </c>
      <c r="B20" s="101">
        <f>SUM(B7:B18)</f>
        <v/>
      </c>
      <c r="C20" s="2" t="n"/>
    </row>
    <row r="21">
      <c r="A21" s="2" t="n"/>
      <c r="B21" s="2" t="n"/>
      <c r="C21" s="2" t="n"/>
    </row>
    <row r="22">
      <c r="A22" s="2" t="n"/>
      <c r="B22" s="2" t="n"/>
      <c r="C22" s="2" t="n"/>
      <c r="F22" s="34" t="n"/>
    </row>
    <row r="23">
      <c r="A23" s="2" t="n"/>
      <c r="B23" s="2" t="n"/>
      <c r="C23" s="2" t="n"/>
      <c r="F23" s="34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 codeName="Plan6">
    <outlinePr summaryBelow="1" summaryRight="1"/>
    <pageSetUpPr/>
  </sheetPr>
  <dimension ref="B1:I18"/>
  <sheetViews>
    <sheetView showGridLines="0" workbookViewId="0">
      <selection activeCell="D29" sqref="D29"/>
    </sheetView>
  </sheetViews>
  <sheetFormatPr baseColWidth="8" defaultColWidth="8.77734375" defaultRowHeight="14.4"/>
  <cols>
    <col width="9.109375" customWidth="1" style="34" min="1" max="1"/>
    <col width="19.109375" bestFit="1" customWidth="1" style="34" min="2" max="2"/>
    <col width="12.44140625" bestFit="1" customWidth="1" style="34" min="3" max="3"/>
    <col width="9.109375" customWidth="1" style="34" min="4" max="8"/>
    <col width="25.6640625" bestFit="1" customWidth="1" style="36" min="9" max="9"/>
    <col width="9.109375" customWidth="1" style="34" min="10" max="21"/>
  </cols>
  <sheetData>
    <row r="1">
      <c r="G1" s="35" t="inlineStr">
        <is>
          <t>Região</t>
        </is>
      </c>
      <c r="I1" s="36" t="inlineStr">
        <is>
          <t>Atividades:</t>
        </is>
      </c>
    </row>
    <row r="2">
      <c r="G2" s="36" t="inlineStr">
        <is>
          <t>Sul</t>
        </is>
      </c>
      <c r="I2" s="36" t="inlineStr">
        <is>
          <t>BTS</t>
        </is>
      </c>
    </row>
    <row r="3">
      <c r="B3" s="34" t="inlineStr">
        <is>
          <t>Concreto</t>
        </is>
      </c>
      <c r="C3" s="34">
        <f>COUNTA(Quantitativos!$F$24:$F$28)&lt;=1</f>
        <v/>
      </c>
      <c r="G3" s="36" t="inlineStr">
        <is>
          <t>Sudeste</t>
        </is>
      </c>
      <c r="I3" s="36" t="inlineStr">
        <is>
          <t>Roof Top</t>
        </is>
      </c>
    </row>
    <row r="4">
      <c r="B4" s="34" t="inlineStr">
        <is>
          <t>Escavação</t>
        </is>
      </c>
      <c r="C4" s="34">
        <f>COUNTA(Quantitativos!$F$31:$F$32)&lt;=1</f>
        <v/>
      </c>
      <c r="G4" s="36" t="inlineStr">
        <is>
          <t>Norte</t>
        </is>
      </c>
      <c r="I4" s="36" t="inlineStr">
        <is>
          <t>Collo - BTS</t>
        </is>
      </c>
    </row>
    <row r="5">
      <c r="B5" s="34" t="inlineStr">
        <is>
          <t>Bota fora</t>
        </is>
      </c>
      <c r="C5" s="34">
        <f>IF(Quantitativos!F33&lt;&gt;(SUM(Quantitativos!F31:F32)),FALSE,TRUE)</f>
        <v/>
      </c>
      <c r="G5" s="36" t="inlineStr">
        <is>
          <t>Nordeste</t>
        </is>
      </c>
      <c r="I5" s="36" t="inlineStr">
        <is>
          <t>Collo RT</t>
        </is>
      </c>
    </row>
    <row r="6">
      <c r="G6" s="36" t="inlineStr">
        <is>
          <t>Centro-Oeste</t>
        </is>
      </c>
      <c r="I6" s="36" t="inlineStr">
        <is>
          <t>Reforço</t>
        </is>
      </c>
    </row>
    <row r="11">
      <c r="I11" s="36" t="inlineStr">
        <is>
          <t>Algar</t>
        </is>
      </c>
    </row>
    <row r="12">
      <c r="B12" s="34" t="inlineStr">
        <is>
          <t>Andre Mosquetti</t>
        </is>
      </c>
      <c r="I12" s="36" t="inlineStr">
        <is>
          <t>Claro</t>
        </is>
      </c>
    </row>
    <row r="13">
      <c r="B13" s="34" t="inlineStr">
        <is>
          <t>Gleyce Caldeira</t>
        </is>
      </c>
      <c r="I13" s="36" t="inlineStr">
        <is>
          <t>Nextel</t>
        </is>
      </c>
    </row>
    <row r="14">
      <c r="B14" s="34" t="inlineStr">
        <is>
          <t xml:space="preserve">Katharine Quinta </t>
        </is>
      </c>
      <c r="I14" s="36" t="inlineStr">
        <is>
          <t>Oi</t>
        </is>
      </c>
    </row>
    <row r="15">
      <c r="B15" s="34" t="inlineStr">
        <is>
          <t xml:space="preserve">Vinicius Barbieri </t>
        </is>
      </c>
      <c r="I15" s="36" t="inlineStr">
        <is>
          <t>Tim</t>
        </is>
      </c>
    </row>
    <row r="16">
      <c r="B16" s="34" t="inlineStr">
        <is>
          <t>Gesiel Melo</t>
        </is>
      </c>
      <c r="I16" s="36" t="inlineStr">
        <is>
          <t>Veloso</t>
        </is>
      </c>
    </row>
    <row r="17">
      <c r="B17" s="34" t="inlineStr">
        <is>
          <t>Keisson Araujo</t>
        </is>
      </c>
      <c r="I17" s="36" t="inlineStr">
        <is>
          <t>Vivo</t>
        </is>
      </c>
    </row>
    <row r="18">
      <c r="I18" s="36" t="inlineStr">
        <is>
          <t>WND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8" customWidth="1" min="3" max="3"/>
    <col width="8" customWidth="1" min="4" max="4"/>
    <col width="10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>
      <c r="A1" s="102" t="inlineStr">
        <is>
          <t>Atividade</t>
        </is>
      </c>
      <c r="B1" s="102" t="inlineStr">
        <is>
          <t>Item</t>
        </is>
      </c>
      <c r="C1" s="102" t="inlineStr">
        <is>
          <t>Descrição</t>
        </is>
      </c>
      <c r="D1" s="102" t="inlineStr">
        <is>
          <t>Unid.</t>
        </is>
      </c>
      <c r="E1" s="102" t="inlineStr">
        <is>
          <t>Nº de PVs</t>
        </is>
      </c>
      <c r="F1" s="102" t="inlineStr">
        <is>
          <t>Média (R$)</t>
        </is>
      </c>
      <c r="G1" s="102" t="inlineStr">
        <is>
          <t>Mediana (R$)</t>
        </is>
      </c>
      <c r="H1" s="102" t="inlineStr">
        <is>
          <t>Mínimo (R$)</t>
        </is>
      </c>
      <c r="I1" s="102" t="inlineStr">
        <is>
          <t>Máximo (R$)</t>
        </is>
      </c>
      <c r="J1" s="102" t="inlineStr">
        <is>
          <t>Desvio (R$)</t>
        </is>
      </c>
      <c r="K1" s="102" t="inlineStr">
        <is>
          <t>Variação Máx/Mín</t>
        </is>
      </c>
    </row>
    <row r="2">
      <c r="A2" s="103" t="inlineStr">
        <is>
          <t>Serviços de Engenharia</t>
        </is>
      </c>
      <c r="B2" s="103" t="inlineStr">
        <is>
          <t>SEN02</t>
        </is>
      </c>
      <c r="C2" s="103" t="inlineStr">
        <is>
          <t>As Built</t>
        </is>
      </c>
      <c r="D2" s="103" t="inlineStr">
        <is>
          <t>Vb</t>
        </is>
      </c>
      <c r="E2" s="104" t="n">
        <v>5</v>
      </c>
      <c r="F2" s="105" t="n">
        <v>940</v>
      </c>
      <c r="G2" s="105" t="n">
        <v>900</v>
      </c>
      <c r="H2" s="105" t="n">
        <v>900</v>
      </c>
      <c r="I2" s="105" t="n">
        <v>1100</v>
      </c>
      <c r="J2" s="105" t="n">
        <v>80</v>
      </c>
      <c r="K2" s="106" t="n">
        <v>1.22</v>
      </c>
    </row>
    <row r="3">
      <c r="A3" s="107" t="inlineStr">
        <is>
          <t>Serviços de Engenharia</t>
        </is>
      </c>
      <c r="B3" s="107" t="inlineStr">
        <is>
          <t>SEN05</t>
        </is>
      </c>
      <c r="C3" s="107" t="inlineStr">
        <is>
          <t>Revisão de As Built (Compartilhamento ou ampliação)</t>
        </is>
      </c>
      <c r="D3" s="107" t="inlineStr">
        <is>
          <t>Vb</t>
        </is>
      </c>
      <c r="E3" s="108" t="n">
        <v>1</v>
      </c>
      <c r="F3" s="109" t="n">
        <v>850</v>
      </c>
      <c r="G3" s="109" t="n">
        <v>850</v>
      </c>
      <c r="H3" s="109" t="n">
        <v>850</v>
      </c>
      <c r="I3" s="109" t="n">
        <v>850</v>
      </c>
      <c r="J3" s="109" t="n">
        <v>0</v>
      </c>
      <c r="K3" s="110" t="n">
        <v>1</v>
      </c>
    </row>
    <row r="4">
      <c r="A4" s="103" t="inlineStr">
        <is>
          <t>Fundação / Comum</t>
        </is>
      </c>
      <c r="B4" s="103" t="inlineStr">
        <is>
          <t>FUNC01</t>
        </is>
      </c>
      <c r="C4" s="103" t="inlineStr">
        <is>
          <t xml:space="preserve">Escavação Radier </t>
        </is>
      </c>
      <c r="D4" s="103" t="inlineStr">
        <is>
          <t>m³</t>
        </is>
      </c>
      <c r="E4" s="104" t="n">
        <v>2</v>
      </c>
      <c r="F4" s="105" t="n">
        <v>177.66</v>
      </c>
      <c r="G4" s="105" t="n">
        <v>177.66</v>
      </c>
      <c r="H4" s="105" t="n">
        <v>177.66</v>
      </c>
      <c r="I4" s="105" t="n">
        <v>177.66</v>
      </c>
      <c r="J4" s="105" t="n">
        <v>0</v>
      </c>
      <c r="K4" s="106" t="n">
        <v>1</v>
      </c>
    </row>
    <row r="5">
      <c r="A5" s="107" t="inlineStr">
        <is>
          <t>Fundação / Comum</t>
        </is>
      </c>
      <c r="B5" s="107" t="inlineStr">
        <is>
          <t>FUNC03</t>
        </is>
      </c>
      <c r="C5" s="107" t="inlineStr">
        <is>
          <t>Concreto preparado e lançado(fck. conf.projeto)  - Até 20m³</t>
        </is>
      </c>
      <c r="D5" s="107" t="inlineStr">
        <is>
          <t>m³</t>
        </is>
      </c>
      <c r="E5" s="108" t="n">
        <v>2</v>
      </c>
      <c r="F5" s="109" t="n">
        <v>1293.22</v>
      </c>
      <c r="G5" s="109" t="n">
        <v>1293.22</v>
      </c>
      <c r="H5" s="109" t="n">
        <v>1256</v>
      </c>
      <c r="I5" s="109" t="n">
        <v>1330.45</v>
      </c>
      <c r="J5" s="109" t="n">
        <v>37.23</v>
      </c>
      <c r="K5" s="110" t="n">
        <v>1.06</v>
      </c>
    </row>
    <row r="6">
      <c r="A6" s="103" t="inlineStr">
        <is>
          <t>Fundação / Comum</t>
        </is>
      </c>
      <c r="B6" s="103" t="inlineStr">
        <is>
          <t>FUNC08</t>
        </is>
      </c>
      <c r="C6" s="103" t="inlineStr">
        <is>
          <t>Reaterro e compactação</t>
        </is>
      </c>
      <c r="D6" s="103" t="inlineStr">
        <is>
          <t>m³</t>
        </is>
      </c>
      <c r="E6" s="104" t="n">
        <v>2</v>
      </c>
      <c r="F6" s="105" t="n">
        <v>121.88</v>
      </c>
      <c r="G6" s="105" t="n">
        <v>121.88</v>
      </c>
      <c r="H6" s="105" t="n">
        <v>121.88</v>
      </c>
      <c r="I6" s="105" t="n">
        <v>121.88</v>
      </c>
      <c r="J6" s="105" t="n">
        <v>0</v>
      </c>
      <c r="K6" s="106" t="n">
        <v>1</v>
      </c>
    </row>
    <row r="7">
      <c r="A7" s="107" t="inlineStr">
        <is>
          <t>Fundação / Comum</t>
        </is>
      </c>
      <c r="B7" s="107" t="inlineStr">
        <is>
          <t>FUNC09</t>
        </is>
      </c>
      <c r="C7" s="107" t="inlineStr">
        <is>
          <t>Bota-fora</t>
        </is>
      </c>
      <c r="D7" s="107" t="inlineStr">
        <is>
          <t>m³</t>
        </is>
      </c>
      <c r="E7" s="108" t="n">
        <v>4</v>
      </c>
      <c r="F7" s="109" t="n">
        <v>121.12</v>
      </c>
      <c r="G7" s="109" t="n">
        <v>120.98</v>
      </c>
      <c r="H7" s="109" t="n">
        <v>120.97</v>
      </c>
      <c r="I7" s="109" t="n">
        <v>121.54</v>
      </c>
      <c r="J7" s="109" t="n">
        <v>0.24</v>
      </c>
      <c r="K7" s="110" t="n">
        <v>1</v>
      </c>
    </row>
    <row r="8">
      <c r="A8" s="103" t="inlineStr">
        <is>
          <t>Fundação / Comum</t>
        </is>
      </c>
      <c r="B8" s="103" t="inlineStr">
        <is>
          <t>FUNC10</t>
        </is>
      </c>
      <c r="C8" s="103" t="inlineStr">
        <is>
          <t xml:space="preserve">Forma em tábua de madeira comum </t>
        </is>
      </c>
      <c r="D8" s="103" t="inlineStr">
        <is>
          <t>m²</t>
        </is>
      </c>
      <c r="E8" s="104" t="n">
        <v>2</v>
      </c>
      <c r="F8" s="105" t="n">
        <v>144.05</v>
      </c>
      <c r="G8" s="105" t="n">
        <v>144.05</v>
      </c>
      <c r="H8" s="105" t="n">
        <v>144.05</v>
      </c>
      <c r="I8" s="105" t="n">
        <v>144.05</v>
      </c>
      <c r="J8" s="105" t="n">
        <v>0</v>
      </c>
      <c r="K8" s="106" t="n">
        <v>1</v>
      </c>
    </row>
    <row r="9">
      <c r="A9" s="107" t="inlineStr">
        <is>
          <t>Fundação / Comum</t>
        </is>
      </c>
      <c r="B9" s="107" t="inlineStr">
        <is>
          <t>FUNC11</t>
        </is>
      </c>
      <c r="C9" s="107" t="inlineStr">
        <is>
          <t>Aço de fundação (CA 50 / CA 60) para tubulão ou radier</t>
        </is>
      </c>
      <c r="D9" s="107" t="inlineStr">
        <is>
          <t>Kg</t>
        </is>
      </c>
      <c r="E9" s="108" t="n">
        <v>2</v>
      </c>
      <c r="F9" s="109" t="n">
        <v>22.54</v>
      </c>
      <c r="G9" s="109" t="n">
        <v>22.54</v>
      </c>
      <c r="H9" s="109" t="n">
        <v>21.56</v>
      </c>
      <c r="I9" s="109" t="n">
        <v>23.52</v>
      </c>
      <c r="J9" s="109" t="n">
        <v>0.98</v>
      </c>
      <c r="K9" s="110" t="n">
        <v>1.09</v>
      </c>
    </row>
    <row r="10">
      <c r="A10" s="103" t="inlineStr">
        <is>
          <t>Fundação / Comum</t>
        </is>
      </c>
      <c r="B10" s="103" t="inlineStr">
        <is>
          <t>FUNC12</t>
        </is>
      </c>
      <c r="C10" s="103" t="inlineStr">
        <is>
          <t>Lastro de brita nº 2</t>
        </is>
      </c>
      <c r="D10" s="103" t="inlineStr">
        <is>
          <t>m³</t>
        </is>
      </c>
      <c r="E10" s="104" t="n">
        <v>1</v>
      </c>
      <c r="F10" s="105" t="n">
        <v>300</v>
      </c>
      <c r="G10" s="105" t="n">
        <v>300</v>
      </c>
      <c r="H10" s="105" t="n">
        <v>300</v>
      </c>
      <c r="I10" s="105" t="n">
        <v>300</v>
      </c>
      <c r="J10" s="105" t="n">
        <v>0</v>
      </c>
      <c r="K10" s="106" t="n">
        <v>1</v>
      </c>
    </row>
    <row r="11">
      <c r="A11" s="107" t="inlineStr">
        <is>
          <t>Fundação / Comum</t>
        </is>
      </c>
      <c r="B11" s="107" t="inlineStr">
        <is>
          <t>FUNC13</t>
        </is>
      </c>
      <c r="C11" s="107" t="inlineStr">
        <is>
          <t>Concreto magro p/regularização (não estrutural)</t>
        </is>
      </c>
      <c r="D11" s="107" t="inlineStr">
        <is>
          <t>m³</t>
        </is>
      </c>
      <c r="E11" s="108" t="n">
        <v>2</v>
      </c>
      <c r="F11" s="109" t="n">
        <v>641.77</v>
      </c>
      <c r="G11" s="109" t="n">
        <v>641.77</v>
      </c>
      <c r="H11" s="109" t="n">
        <v>641.77</v>
      </c>
      <c r="I11" s="109" t="n">
        <v>641.77</v>
      </c>
      <c r="J11" s="109" t="n">
        <v>0</v>
      </c>
      <c r="K11" s="110" t="n">
        <v>1</v>
      </c>
    </row>
    <row r="12">
      <c r="A12" s="103" t="inlineStr">
        <is>
          <t>Fechamento</t>
        </is>
      </c>
      <c r="B12" s="103" t="inlineStr">
        <is>
          <t>FEC02</t>
        </is>
      </c>
      <c r="C12" s="103" t="inlineStr">
        <is>
          <t>Fechamento - Alambrado c/ Arame farpado</t>
        </is>
      </c>
      <c r="D12" s="103" t="inlineStr">
        <is>
          <t>m²</t>
        </is>
      </c>
      <c r="E12" s="104" t="n">
        <v>24</v>
      </c>
      <c r="F12" s="105" t="n">
        <v>410.31</v>
      </c>
      <c r="G12" s="105" t="n">
        <v>367</v>
      </c>
      <c r="H12" s="105" t="n">
        <v>310</v>
      </c>
      <c r="I12" s="105" t="n">
        <v>650.23</v>
      </c>
      <c r="J12" s="105" t="n">
        <v>86.95</v>
      </c>
      <c r="K12" s="106" t="n">
        <v>2.1</v>
      </c>
    </row>
    <row r="13">
      <c r="A13" s="107" t="inlineStr">
        <is>
          <t>Fechamento</t>
        </is>
      </c>
      <c r="B13" s="107" t="inlineStr">
        <is>
          <t>FEC05</t>
        </is>
      </c>
      <c r="C13" s="107" t="inlineStr">
        <is>
          <t>Instalação de concertina sobre alambrado (Quando solicitado pela HL)</t>
        </is>
      </c>
      <c r="D13" s="107" t="inlineStr">
        <is>
          <t>m</t>
        </is>
      </c>
      <c r="E13" s="108" t="n">
        <v>1</v>
      </c>
      <c r="F13" s="109" t="n">
        <v>136</v>
      </c>
      <c r="G13" s="109" t="n">
        <v>136</v>
      </c>
      <c r="H13" s="109" t="n">
        <v>136</v>
      </c>
      <c r="I13" s="109" t="n">
        <v>136</v>
      </c>
      <c r="J13" s="109" t="n">
        <v>0</v>
      </c>
      <c r="K13" s="110" t="n">
        <v>1</v>
      </c>
    </row>
    <row r="14">
      <c r="A14" s="103" t="inlineStr">
        <is>
          <t>Fechamento</t>
        </is>
      </c>
      <c r="B14" s="103" t="inlineStr">
        <is>
          <t>FEC06</t>
        </is>
      </c>
      <c r="C14" s="103" t="inlineStr">
        <is>
          <t>1/2 Folha Portão - Alambrado</t>
        </is>
      </c>
      <c r="D14" s="103" t="inlineStr">
        <is>
          <t>un</t>
        </is>
      </c>
      <c r="E14" s="104" t="n">
        <v>1</v>
      </c>
      <c r="F14" s="105" t="n">
        <v>3980</v>
      </c>
      <c r="G14" s="105" t="n">
        <v>3980</v>
      </c>
      <c r="H14" s="105" t="n">
        <v>3980</v>
      </c>
      <c r="I14" s="105" t="n">
        <v>3980</v>
      </c>
      <c r="J14" s="105" t="n">
        <v>0</v>
      </c>
      <c r="K14" s="106" t="n">
        <v>1</v>
      </c>
    </row>
    <row r="15">
      <c r="A15" s="107" t="inlineStr">
        <is>
          <t>Fechamento</t>
        </is>
      </c>
      <c r="B15" s="107" t="inlineStr">
        <is>
          <t>FEC10</t>
        </is>
      </c>
      <c r="C15" s="107" t="inlineStr">
        <is>
          <t>Portão para pedestre - Alambrado</t>
        </is>
      </c>
      <c r="D15" s="107" t="inlineStr">
        <is>
          <t>un</t>
        </is>
      </c>
      <c r="E15" s="108" t="n">
        <v>4</v>
      </c>
      <c r="F15" s="109" t="n">
        <v>3003.23</v>
      </c>
      <c r="G15" s="109" t="n">
        <v>3103.23</v>
      </c>
      <c r="H15" s="109" t="n">
        <v>1920</v>
      </c>
      <c r="I15" s="109" t="n">
        <v>3886.46</v>
      </c>
      <c r="J15" s="109" t="n">
        <v>894.48</v>
      </c>
      <c r="K15" s="110" t="n">
        <v>2.02</v>
      </c>
    </row>
    <row r="16">
      <c r="A16" s="103" t="inlineStr">
        <is>
          <t>Área Construída</t>
        </is>
      </c>
      <c r="B16" s="103" t="inlineStr">
        <is>
          <t>CON03</t>
        </is>
      </c>
      <c r="C16" s="103" t="inlineStr">
        <is>
          <t xml:space="preserve">Pedra Brita Nº 2  </t>
        </is>
      </c>
      <c r="D16" s="103" t="inlineStr">
        <is>
          <t>m³</t>
        </is>
      </c>
      <c r="E16" s="104" t="n">
        <v>1</v>
      </c>
      <c r="F16" s="105" t="n">
        <v>450</v>
      </c>
      <c r="G16" s="105" t="n">
        <v>450</v>
      </c>
      <c r="H16" s="105" t="n">
        <v>450</v>
      </c>
      <c r="I16" s="105" t="n">
        <v>450</v>
      </c>
      <c r="J16" s="105" t="n">
        <v>0</v>
      </c>
      <c r="K16" s="106" t="n">
        <v>1</v>
      </c>
    </row>
    <row r="17">
      <c r="A17" s="107" t="inlineStr">
        <is>
          <t>Área Construída</t>
        </is>
      </c>
      <c r="B17" s="107" t="inlineStr">
        <is>
          <t>CON04</t>
        </is>
      </c>
      <c r="C17" s="107" t="inlineStr">
        <is>
          <t>Caixa de passagem para instalações elétricas</t>
        </is>
      </c>
      <c r="D17" s="107" t="inlineStr">
        <is>
          <t>un</t>
        </is>
      </c>
      <c r="E17" s="108" t="n">
        <v>35</v>
      </c>
      <c r="F17" s="109" t="n">
        <v>907.6900000000001</v>
      </c>
      <c r="G17" s="109" t="n">
        <v>956</v>
      </c>
      <c r="H17" s="109" t="n">
        <v>629.12</v>
      </c>
      <c r="I17" s="109" t="n">
        <v>1149.46</v>
      </c>
      <c r="J17" s="109" t="n">
        <v>114.48</v>
      </c>
      <c r="K17" s="110" t="n">
        <v>1.83</v>
      </c>
    </row>
    <row r="18">
      <c r="A18" s="103" t="inlineStr">
        <is>
          <t>Área Construída</t>
        </is>
      </c>
      <c r="B18" s="103" t="inlineStr">
        <is>
          <t>CON06</t>
        </is>
      </c>
      <c r="C18" s="103" t="inlineStr">
        <is>
          <t>Base de equipamento em concreto armado</t>
        </is>
      </c>
      <c r="D18" s="103" t="inlineStr">
        <is>
          <t>m³</t>
        </is>
      </c>
      <c r="E18" s="104" t="n">
        <v>36</v>
      </c>
      <c r="F18" s="105" t="n">
        <v>3530.43</v>
      </c>
      <c r="G18" s="105" t="n">
        <v>3458.78</v>
      </c>
      <c r="H18" s="105" t="n">
        <v>3049.2</v>
      </c>
      <c r="I18" s="105" t="n">
        <v>4800</v>
      </c>
      <c r="J18" s="105" t="n">
        <v>363.81</v>
      </c>
      <c r="K18" s="106" t="n">
        <v>1.57</v>
      </c>
    </row>
    <row r="19">
      <c r="A19" s="107" t="inlineStr">
        <is>
          <t>Área Construída</t>
        </is>
      </c>
      <c r="B19" s="107" t="inlineStr">
        <is>
          <t>CON07</t>
        </is>
      </c>
      <c r="C19" s="107" t="inlineStr">
        <is>
          <t>Skid metálico (galvanizado à fogo)</t>
        </is>
      </c>
      <c r="D19" s="107" t="inlineStr">
        <is>
          <t>Kg</t>
        </is>
      </c>
      <c r="E19" s="108" t="n">
        <v>32</v>
      </c>
      <c r="F19" s="109" t="n">
        <v>54.24</v>
      </c>
      <c r="G19" s="109" t="n">
        <v>53.5</v>
      </c>
      <c r="H19" s="109" t="n">
        <v>48</v>
      </c>
      <c r="I19" s="109" t="n">
        <v>64.8</v>
      </c>
      <c r="J19" s="109" t="n">
        <v>3.53</v>
      </c>
      <c r="K19" s="110" t="n">
        <v>1.35</v>
      </c>
    </row>
    <row r="20">
      <c r="A20" s="103" t="inlineStr">
        <is>
          <t>Área Construída</t>
        </is>
      </c>
      <c r="B20" s="103" t="inlineStr">
        <is>
          <t>CON10</t>
        </is>
      </c>
      <c r="C20" s="103" t="inlineStr">
        <is>
          <t>Demolição de muro existente</t>
        </is>
      </c>
      <c r="D20" s="103" t="inlineStr">
        <is>
          <t>m²</t>
        </is>
      </c>
      <c r="E20" s="104" t="n">
        <v>1</v>
      </c>
      <c r="F20" s="105" t="n">
        <v>143</v>
      </c>
      <c r="G20" s="105" t="n">
        <v>143</v>
      </c>
      <c r="H20" s="105" t="n">
        <v>143</v>
      </c>
      <c r="I20" s="105" t="n">
        <v>143</v>
      </c>
      <c r="J20" s="105" t="n">
        <v>0</v>
      </c>
      <c r="K20" s="106" t="n">
        <v>1</v>
      </c>
    </row>
    <row r="21">
      <c r="A21" s="107" t="inlineStr">
        <is>
          <t>Área Construída</t>
        </is>
      </c>
      <c r="B21" s="107" t="inlineStr">
        <is>
          <t>CON13</t>
        </is>
      </c>
      <c r="C21" s="107" t="inlineStr">
        <is>
          <t xml:space="preserve">Conector FCI Barra - Para esteira </t>
        </is>
      </c>
      <c r="D21" s="107" t="inlineStr">
        <is>
          <t>un</t>
        </is>
      </c>
      <c r="E21" s="108" t="n">
        <v>36</v>
      </c>
      <c r="F21" s="109" t="n">
        <v>187.02</v>
      </c>
      <c r="G21" s="109" t="n">
        <v>178.2</v>
      </c>
      <c r="H21" s="109" t="n">
        <v>170</v>
      </c>
      <c r="I21" s="109" t="n">
        <v>450</v>
      </c>
      <c r="J21" s="109" t="n">
        <v>44.83</v>
      </c>
      <c r="K21" s="110" t="n">
        <v>2.65</v>
      </c>
    </row>
    <row r="22">
      <c r="A22" s="103" t="inlineStr">
        <is>
          <t>Energia / Entrada de Energia</t>
        </is>
      </c>
      <c r="B22" s="103" t="inlineStr">
        <is>
          <t>ENT01</t>
        </is>
      </c>
      <c r="C22" s="103" t="inlineStr">
        <is>
          <t>QD/ QTM - Com Alvenaria (Padrão Claro)</t>
        </is>
      </c>
      <c r="D22" s="103" t="inlineStr">
        <is>
          <t>un</t>
        </is>
      </c>
      <c r="E22" s="104" t="n">
        <v>25</v>
      </c>
      <c r="F22" s="105" t="n">
        <v>12748.5</v>
      </c>
      <c r="G22" s="105" t="n">
        <v>12994.74</v>
      </c>
      <c r="H22" s="105" t="n">
        <v>6500</v>
      </c>
      <c r="I22" s="105" t="n">
        <v>13969.35</v>
      </c>
      <c r="J22" s="105" t="n">
        <v>1483.54</v>
      </c>
      <c r="K22" s="106" t="n">
        <v>2.15</v>
      </c>
    </row>
    <row r="23">
      <c r="A23" s="107" t="inlineStr">
        <is>
          <t>Energia / Entrada de Energia</t>
        </is>
      </c>
      <c r="B23" s="107" t="inlineStr">
        <is>
          <t>ENT02</t>
        </is>
      </c>
      <c r="C23" s="107" t="inlineStr">
        <is>
          <t xml:space="preserve">QD/ QTM - Com Alvenaria (Padrão Vivo) </t>
        </is>
      </c>
      <c r="D23" s="107" t="inlineStr">
        <is>
          <t>un</t>
        </is>
      </c>
      <c r="E23" s="108" t="n">
        <v>23</v>
      </c>
      <c r="F23" s="109" t="n">
        <v>13353.28</v>
      </c>
      <c r="G23" s="109" t="n">
        <v>13994.74</v>
      </c>
      <c r="H23" s="109" t="n">
        <v>7980.57</v>
      </c>
      <c r="I23" s="109" t="n">
        <v>13994.74</v>
      </c>
      <c r="J23" s="109" t="n">
        <v>1242.38</v>
      </c>
      <c r="K23" s="110" t="n">
        <v>1.75</v>
      </c>
    </row>
    <row r="24">
      <c r="A24" s="103" t="inlineStr">
        <is>
          <t>Energia / Entrada de Energia</t>
        </is>
      </c>
      <c r="B24" s="103" t="inlineStr">
        <is>
          <t>ENT03</t>
        </is>
      </c>
      <c r="C24" s="103" t="inlineStr">
        <is>
          <t>QD/ QTM - Com Alvenaria (Padrão Tim)</t>
        </is>
      </c>
      <c r="D24" s="103" t="inlineStr">
        <is>
          <t>un</t>
        </is>
      </c>
      <c r="E24" s="104" t="n">
        <v>20</v>
      </c>
      <c r="F24" s="105" t="n">
        <v>13496.95</v>
      </c>
      <c r="G24" s="105" t="n">
        <v>13700</v>
      </c>
      <c r="H24" s="105" t="n">
        <v>11900</v>
      </c>
      <c r="I24" s="105" t="n">
        <v>14974</v>
      </c>
      <c r="J24" s="105" t="n">
        <v>679.97</v>
      </c>
      <c r="K24" s="106" t="n">
        <v>1.26</v>
      </c>
    </row>
    <row r="25">
      <c r="A25" s="107" t="inlineStr">
        <is>
          <t>Energia / Entrada de Energia</t>
        </is>
      </c>
      <c r="B25" s="107" t="inlineStr">
        <is>
          <t>ENT02</t>
        </is>
      </c>
      <c r="C25" s="107" t="inlineStr">
        <is>
          <t xml:space="preserve">Suporte para QD/ QTM </t>
        </is>
      </c>
      <c r="D25" s="107" t="inlineStr">
        <is>
          <t>un</t>
        </is>
      </c>
      <c r="E25" s="108" t="n">
        <v>1</v>
      </c>
      <c r="F25" s="109" t="n">
        <v>1239.5</v>
      </c>
      <c r="G25" s="109" t="n">
        <v>1239.5</v>
      </c>
      <c r="H25" s="109" t="n">
        <v>1239.5</v>
      </c>
      <c r="I25" s="109" t="n">
        <v>1239.5</v>
      </c>
      <c r="J25" s="109" t="n">
        <v>0</v>
      </c>
      <c r="K25" s="110" t="n">
        <v>1</v>
      </c>
    </row>
    <row r="26">
      <c r="A26" s="103" t="inlineStr">
        <is>
          <t>Energia / Entrada de Energia</t>
        </is>
      </c>
      <c r="B26" s="103" t="inlineStr">
        <is>
          <t>ENT03</t>
        </is>
      </c>
      <c r="C26" s="103" t="inlineStr">
        <is>
          <t>Grade para medidor</t>
        </is>
      </c>
      <c r="D26" s="103" t="inlineStr">
        <is>
          <t>un</t>
        </is>
      </c>
      <c r="E26" s="104" t="n">
        <v>23</v>
      </c>
      <c r="F26" s="105" t="n">
        <v>1304.35</v>
      </c>
      <c r="G26" s="105" t="n">
        <v>1350</v>
      </c>
      <c r="H26" s="105" t="n">
        <v>700</v>
      </c>
      <c r="I26" s="105" t="n">
        <v>1500</v>
      </c>
      <c r="J26" s="105" t="n">
        <v>189.92</v>
      </c>
      <c r="K26" s="106" t="n">
        <v>2.14</v>
      </c>
    </row>
    <row r="27">
      <c r="A27" s="107" t="inlineStr">
        <is>
          <t>Energia / Entrada de Energia</t>
        </is>
      </c>
      <c r="B27" s="107" t="inlineStr">
        <is>
          <t>ENT04</t>
        </is>
      </c>
      <c r="C27" s="107" t="inlineStr">
        <is>
          <t>Tomada Steck</t>
        </is>
      </c>
      <c r="D27" s="107" t="inlineStr">
        <is>
          <t>un</t>
        </is>
      </c>
      <c r="E27" s="108" t="n">
        <v>35</v>
      </c>
      <c r="F27" s="109" t="n">
        <v>353</v>
      </c>
      <c r="G27" s="109" t="n">
        <v>350</v>
      </c>
      <c r="H27" s="109" t="n">
        <v>350</v>
      </c>
      <c r="I27" s="109" t="n">
        <v>376.25</v>
      </c>
      <c r="J27" s="109" t="n">
        <v>8.35</v>
      </c>
      <c r="K27" s="110" t="n">
        <v>1.07</v>
      </c>
    </row>
    <row r="28">
      <c r="A28" s="103" t="inlineStr">
        <is>
          <t>Energia / Entrada de Energia</t>
        </is>
      </c>
      <c r="B28" s="103" t="inlineStr">
        <is>
          <t>ENT05</t>
        </is>
      </c>
      <c r="C28" s="103" t="inlineStr">
        <is>
          <t>Padrão novo para 1 medidor - Com ligação definitiva</t>
        </is>
      </c>
      <c r="D28" s="103" t="inlineStr">
        <is>
          <t>un</t>
        </is>
      </c>
      <c r="E28" s="104" t="n">
        <v>1</v>
      </c>
      <c r="F28" s="105" t="n">
        <v>7540.5</v>
      </c>
      <c r="G28" s="105" t="n">
        <v>7540.5</v>
      </c>
      <c r="H28" s="105" t="n">
        <v>7540.5</v>
      </c>
      <c r="I28" s="105" t="n">
        <v>7540.5</v>
      </c>
      <c r="J28" s="105" t="n">
        <v>0</v>
      </c>
      <c r="K28" s="106" t="n">
        <v>1</v>
      </c>
    </row>
    <row r="29">
      <c r="A29" s="107" t="inlineStr">
        <is>
          <t>Energia / Entrada de Energia</t>
        </is>
      </c>
      <c r="B29" s="107" t="inlineStr">
        <is>
          <t>ENT06</t>
        </is>
      </c>
      <c r="C29" s="107" t="inlineStr">
        <is>
          <t>Padrão novo para 2 medidores - Com ligação definitiva</t>
        </is>
      </c>
      <c r="D29" s="107" t="inlineStr">
        <is>
          <t>un</t>
        </is>
      </c>
      <c r="E29" s="108" t="n">
        <v>1</v>
      </c>
      <c r="F29" s="109" t="n">
        <v>8223.75</v>
      </c>
      <c r="G29" s="109" t="n">
        <v>8223.75</v>
      </c>
      <c r="H29" s="109" t="n">
        <v>8223.75</v>
      </c>
      <c r="I29" s="109" t="n">
        <v>8223.75</v>
      </c>
      <c r="J29" s="109" t="n">
        <v>0</v>
      </c>
      <c r="K29" s="110" t="n">
        <v>1</v>
      </c>
    </row>
    <row r="30">
      <c r="A30" s="103" t="inlineStr">
        <is>
          <t>Energia / Entrada de Energia</t>
        </is>
      </c>
      <c r="B30" s="103" t="inlineStr">
        <is>
          <t>ENT07</t>
        </is>
      </c>
      <c r="C30" s="103" t="inlineStr">
        <is>
          <t>Ampliação do padrão de 1 para 2 medidores - Com ligação definitiva</t>
        </is>
      </c>
      <c r="D30" s="103" t="inlineStr">
        <is>
          <t>un</t>
        </is>
      </c>
      <c r="E30" s="104" t="n">
        <v>27</v>
      </c>
      <c r="F30" s="105" t="n">
        <v>8806.459999999999</v>
      </c>
      <c r="G30" s="105" t="n">
        <v>8956.99</v>
      </c>
      <c r="H30" s="105" t="n">
        <v>7650</v>
      </c>
      <c r="I30" s="105" t="n">
        <v>9675.27</v>
      </c>
      <c r="J30" s="105" t="n">
        <v>774.88</v>
      </c>
      <c r="K30" s="106" t="n">
        <v>1.26</v>
      </c>
    </row>
    <row r="31">
      <c r="A31" s="107" t="inlineStr">
        <is>
          <t>Energia / Entrada de Energia</t>
        </is>
      </c>
      <c r="B31" s="107" t="inlineStr">
        <is>
          <t>ENT08</t>
        </is>
      </c>
      <c r="C31" s="107" t="inlineStr">
        <is>
          <t xml:space="preserve">Ampliação do padrão de 2 para 3 medidores - Com ligação definitiva </t>
        </is>
      </c>
      <c r="D31" s="107" t="inlineStr">
        <is>
          <t>un</t>
        </is>
      </c>
      <c r="E31" s="108" t="n">
        <v>12</v>
      </c>
      <c r="F31" s="109" t="n">
        <v>9164.68</v>
      </c>
      <c r="G31" s="109" t="n">
        <v>9164.530000000001</v>
      </c>
      <c r="H31" s="109" t="n">
        <v>8600</v>
      </c>
      <c r="I31" s="109" t="n">
        <v>9650</v>
      </c>
      <c r="J31" s="109" t="n">
        <v>267.87</v>
      </c>
      <c r="K31" s="110" t="n">
        <v>1.12</v>
      </c>
    </row>
    <row r="32">
      <c r="A32" s="103" t="inlineStr">
        <is>
          <t>Energia / Entrada de Energia</t>
        </is>
      </c>
      <c r="B32" s="103" t="inlineStr">
        <is>
          <t>ENT13</t>
        </is>
      </c>
      <c r="C32" s="103" t="inlineStr">
        <is>
          <t>Eletroduto Corrugado Tipo KANAFLEX Ø 1"</t>
        </is>
      </c>
      <c r="D32" s="103" t="inlineStr">
        <is>
          <t>m</t>
        </is>
      </c>
      <c r="E32" s="104" t="n">
        <v>31</v>
      </c>
      <c r="F32" s="105" t="n">
        <v>25</v>
      </c>
      <c r="G32" s="105" t="n">
        <v>25</v>
      </c>
      <c r="H32" s="105" t="n">
        <v>18</v>
      </c>
      <c r="I32" s="105" t="n">
        <v>30</v>
      </c>
      <c r="J32" s="105" t="n">
        <v>1.65</v>
      </c>
      <c r="K32" s="106" t="n">
        <v>1.67</v>
      </c>
    </row>
    <row r="33">
      <c r="A33" s="107" t="inlineStr">
        <is>
          <t>Energia / Entrada de Energia</t>
        </is>
      </c>
      <c r="B33" s="107" t="inlineStr">
        <is>
          <t>ENT14</t>
        </is>
      </c>
      <c r="C33" s="107" t="inlineStr">
        <is>
          <t>Eletroduto Corrugado Tipo KANAFLEX Ø 2"</t>
        </is>
      </c>
      <c r="D33" s="107" t="inlineStr">
        <is>
          <t>m</t>
        </is>
      </c>
      <c r="E33" s="108" t="n">
        <v>35</v>
      </c>
      <c r="F33" s="109" t="n">
        <v>34.91</v>
      </c>
      <c r="G33" s="109" t="n">
        <v>38</v>
      </c>
      <c r="H33" s="109" t="n">
        <v>22</v>
      </c>
      <c r="I33" s="109" t="n">
        <v>45</v>
      </c>
      <c r="J33" s="109" t="n">
        <v>4.47</v>
      </c>
      <c r="K33" s="110" t="n">
        <v>2.05</v>
      </c>
    </row>
    <row r="34">
      <c r="A34" s="103" t="inlineStr">
        <is>
          <t>Energia / Infra - Site</t>
        </is>
      </c>
      <c r="B34" s="103" t="inlineStr">
        <is>
          <t>INFR01</t>
        </is>
      </c>
      <c r="C34" s="103" t="inlineStr">
        <is>
          <t>Malha de aterramento</t>
        </is>
      </c>
      <c r="D34" s="103" t="inlineStr">
        <is>
          <t>m</t>
        </is>
      </c>
      <c r="E34" s="104" t="n">
        <v>35</v>
      </c>
      <c r="F34" s="105" t="n">
        <v>306.11</v>
      </c>
      <c r="G34" s="105" t="n">
        <v>345</v>
      </c>
      <c r="H34" s="105" t="n">
        <v>130</v>
      </c>
      <c r="I34" s="105" t="n">
        <v>350</v>
      </c>
      <c r="J34" s="105" t="n">
        <v>55.77</v>
      </c>
      <c r="K34" s="106" t="n">
        <v>2.69</v>
      </c>
    </row>
    <row r="35">
      <c r="A35" s="107" t="inlineStr">
        <is>
          <t>Energia / Infra - Site</t>
        </is>
      </c>
      <c r="B35" s="107" t="inlineStr">
        <is>
          <t>INFR04</t>
        </is>
      </c>
      <c r="C35" s="107" t="inlineStr">
        <is>
          <t>Tubulação 1" Galvanizada à fogo</t>
        </is>
      </c>
      <c r="D35" s="107" t="inlineStr">
        <is>
          <t>m</t>
        </is>
      </c>
      <c r="E35" s="108" t="n">
        <v>1</v>
      </c>
      <c r="F35" s="109" t="n">
        <v>55</v>
      </c>
      <c r="G35" s="109" t="n">
        <v>55</v>
      </c>
      <c r="H35" s="109" t="n">
        <v>55</v>
      </c>
      <c r="I35" s="109" t="n">
        <v>55</v>
      </c>
      <c r="J35" s="109" t="n">
        <v>0</v>
      </c>
      <c r="K35" s="110" t="n">
        <v>1</v>
      </c>
    </row>
    <row r="36">
      <c r="A36" s="103" t="inlineStr">
        <is>
          <t>Energia / Infra - Site</t>
        </is>
      </c>
      <c r="B36" s="103" t="inlineStr">
        <is>
          <t>INFR05</t>
        </is>
      </c>
      <c r="C36" s="103" t="inlineStr">
        <is>
          <t>Tubulação 2" Galvanizada à fogo</t>
        </is>
      </c>
      <c r="D36" s="103" t="inlineStr">
        <is>
          <t>m</t>
        </is>
      </c>
      <c r="E36" s="104" t="n">
        <v>19</v>
      </c>
      <c r="F36" s="105" t="n">
        <v>99.39</v>
      </c>
      <c r="G36" s="105" t="n">
        <v>85</v>
      </c>
      <c r="H36" s="105" t="n">
        <v>70</v>
      </c>
      <c r="I36" s="105" t="n">
        <v>193.45</v>
      </c>
      <c r="J36" s="105" t="n">
        <v>38.72</v>
      </c>
      <c r="K36" s="106" t="n">
        <v>2.76</v>
      </c>
    </row>
    <row r="37">
      <c r="A37" s="107" t="inlineStr">
        <is>
          <t>Energia / Infra - Site</t>
        </is>
      </c>
      <c r="B37" s="107" t="inlineStr">
        <is>
          <t>INFR07</t>
        </is>
      </c>
      <c r="C37" s="107" t="inlineStr">
        <is>
          <t>Tubulação 1" PVC</t>
        </is>
      </c>
      <c r="D37" s="107" t="inlineStr">
        <is>
          <t>m</t>
        </is>
      </c>
      <c r="E37" s="108" t="n">
        <v>1</v>
      </c>
      <c r="F37" s="109" t="n">
        <v>50.31</v>
      </c>
      <c r="G37" s="109" t="n">
        <v>50.31</v>
      </c>
      <c r="H37" s="109" t="n">
        <v>50.31</v>
      </c>
      <c r="I37" s="109" t="n">
        <v>50.31</v>
      </c>
      <c r="J37" s="109" t="n">
        <v>0</v>
      </c>
      <c r="K37" s="110" t="n">
        <v>1</v>
      </c>
    </row>
    <row r="38">
      <c r="A38" s="103" t="inlineStr">
        <is>
          <t>Energia / Infra - Site</t>
        </is>
      </c>
      <c r="B38" s="103" t="inlineStr">
        <is>
          <t>INFR08</t>
        </is>
      </c>
      <c r="C38" s="103" t="inlineStr">
        <is>
          <t>Tubulação 2" PVC</t>
        </is>
      </c>
      <c r="D38" s="103" t="inlineStr">
        <is>
          <t>m</t>
        </is>
      </c>
      <c r="E38" s="104" t="n">
        <v>4</v>
      </c>
      <c r="F38" s="105" t="n">
        <v>112</v>
      </c>
      <c r="G38" s="105" t="n">
        <v>112</v>
      </c>
      <c r="H38" s="105" t="n">
        <v>112</v>
      </c>
      <c r="I38" s="105" t="n">
        <v>112</v>
      </c>
      <c r="J38" s="105" t="n">
        <v>0</v>
      </c>
      <c r="K38" s="106" t="n">
        <v>1</v>
      </c>
    </row>
    <row r="39">
      <c r="A39" s="107" t="inlineStr">
        <is>
          <t>Energia / Infra - Site</t>
        </is>
      </c>
      <c r="B39" s="107" t="inlineStr">
        <is>
          <t>INFR11</t>
        </is>
      </c>
      <c r="C39" s="107" t="inlineStr">
        <is>
          <t>Cabo flexível #25mm² isol. 750V - qualquer cor</t>
        </is>
      </c>
      <c r="D39" s="107" t="inlineStr">
        <is>
          <t>m</t>
        </is>
      </c>
      <c r="E39" s="108" t="n">
        <v>13</v>
      </c>
      <c r="F39" s="109" t="n">
        <v>51.26</v>
      </c>
      <c r="G39" s="109" t="n">
        <v>50.63</v>
      </c>
      <c r="H39" s="109" t="n">
        <v>50.63</v>
      </c>
      <c r="I39" s="109" t="n">
        <v>55.48</v>
      </c>
      <c r="J39" s="109" t="n">
        <v>1.51</v>
      </c>
      <c r="K39" s="110" t="n">
        <v>1.1</v>
      </c>
    </row>
    <row r="40">
      <c r="A40" s="103" t="inlineStr">
        <is>
          <t>Energia / Infra - Site</t>
        </is>
      </c>
      <c r="B40" s="103" t="inlineStr">
        <is>
          <t>INFR12</t>
        </is>
      </c>
      <c r="C40" s="103" t="inlineStr">
        <is>
          <t>Cabo flexível #35mm² isol. 750V - qualquer cor</t>
        </is>
      </c>
      <c r="D40" s="103" t="inlineStr">
        <is>
          <t>m</t>
        </is>
      </c>
      <c r="E40" s="104" t="n">
        <v>4</v>
      </c>
      <c r="F40" s="105" t="n">
        <v>76.27</v>
      </c>
      <c r="G40" s="105" t="n">
        <v>76.27</v>
      </c>
      <c r="H40" s="105" t="n">
        <v>76.27</v>
      </c>
      <c r="I40" s="105" t="n">
        <v>76.27</v>
      </c>
      <c r="J40" s="105" t="n">
        <v>0</v>
      </c>
      <c r="K40" s="106" t="n">
        <v>1</v>
      </c>
    </row>
    <row r="41">
      <c r="A41" s="107" t="inlineStr">
        <is>
          <t>Energia / Infra - Site</t>
        </is>
      </c>
      <c r="B41" s="107" t="inlineStr">
        <is>
          <t>INFR13</t>
        </is>
      </c>
      <c r="C41" s="107" t="inlineStr">
        <is>
          <t>Cabo flexível #50mm² isol. 750V - qualquer cor</t>
        </is>
      </c>
      <c r="D41" s="107" t="inlineStr">
        <is>
          <t>m</t>
        </is>
      </c>
      <c r="E41" s="108" t="n">
        <v>12</v>
      </c>
      <c r="F41" s="109" t="n">
        <v>112.7</v>
      </c>
      <c r="G41" s="109" t="n">
        <v>112.7</v>
      </c>
      <c r="H41" s="109" t="n">
        <v>112.7</v>
      </c>
      <c r="I41" s="109" t="n">
        <v>112.7</v>
      </c>
      <c r="J41" s="109" t="n">
        <v>0</v>
      </c>
      <c r="K41" s="110" t="n">
        <v>1</v>
      </c>
    </row>
    <row r="42">
      <c r="A42" s="103" t="inlineStr">
        <is>
          <t>Energia / Infra - Site</t>
        </is>
      </c>
      <c r="B42" s="103" t="inlineStr">
        <is>
          <t>INFR14</t>
        </is>
      </c>
      <c r="C42" s="103" t="inlineStr">
        <is>
          <t xml:space="preserve">Cabo flexível #10mm² isol.  0,6/1,0Kv </t>
        </is>
      </c>
      <c r="D42" s="103" t="inlineStr">
        <is>
          <t>m</t>
        </is>
      </c>
      <c r="E42" s="104" t="n">
        <v>25</v>
      </c>
      <c r="F42" s="105" t="n">
        <v>27.47</v>
      </c>
      <c r="G42" s="105" t="n">
        <v>27.25</v>
      </c>
      <c r="H42" s="105" t="n">
        <v>25</v>
      </c>
      <c r="I42" s="105" t="n">
        <v>29.35</v>
      </c>
      <c r="J42" s="105" t="n">
        <v>1.26</v>
      </c>
      <c r="K42" s="106" t="n">
        <v>1.17</v>
      </c>
    </row>
    <row r="43">
      <c r="A43" s="107" t="inlineStr">
        <is>
          <t>Energia / Infra - Site</t>
        </is>
      </c>
      <c r="B43" s="107" t="inlineStr">
        <is>
          <t>INFR15</t>
        </is>
      </c>
      <c r="C43" s="107" t="inlineStr">
        <is>
          <t xml:space="preserve">Cabo flexível #16mm² isol.  0,6/1,0Kv </t>
        </is>
      </c>
      <c r="D43" s="107" t="inlineStr">
        <is>
          <t>m</t>
        </is>
      </c>
      <c r="E43" s="108" t="n">
        <v>34</v>
      </c>
      <c r="F43" s="109" t="n">
        <v>36.68</v>
      </c>
      <c r="G43" s="109" t="n">
        <v>37.27</v>
      </c>
      <c r="H43" s="109" t="n">
        <v>30</v>
      </c>
      <c r="I43" s="109" t="n">
        <v>40</v>
      </c>
      <c r="J43" s="109" t="n">
        <v>2.19</v>
      </c>
      <c r="K43" s="110" t="n">
        <v>1.33</v>
      </c>
    </row>
    <row r="44">
      <c r="A44" s="103" t="inlineStr">
        <is>
          <t>Energia / Infra - Site</t>
        </is>
      </c>
      <c r="B44" s="103" t="inlineStr">
        <is>
          <t>INFR16</t>
        </is>
      </c>
      <c r="C44" s="103" t="inlineStr">
        <is>
          <t>Poste de iluminação Telecônico Curvo Simples Flangeado com luminária inclusa</t>
        </is>
      </c>
      <c r="D44" s="103" t="inlineStr">
        <is>
          <t>un</t>
        </is>
      </c>
      <c r="E44" s="104" t="n">
        <v>35</v>
      </c>
      <c r="F44" s="105" t="n">
        <v>3615.93</v>
      </c>
      <c r="G44" s="105" t="n">
        <v>3762.5</v>
      </c>
      <c r="H44" s="105" t="n">
        <v>1830</v>
      </c>
      <c r="I44" s="105" t="n">
        <v>4685</v>
      </c>
      <c r="J44" s="105" t="n">
        <v>557.01</v>
      </c>
      <c r="K44" s="106" t="n">
        <v>2.56</v>
      </c>
    </row>
    <row r="45">
      <c r="A45" s="107" t="inlineStr">
        <is>
          <t>Itens complementares</t>
        </is>
      </c>
      <c r="B45" s="107" t="inlineStr">
        <is>
          <t>COM02</t>
        </is>
      </c>
      <c r="C45" s="107" t="inlineStr">
        <is>
          <t>Acessórios metálicos (mastro, costela de vaca, esteira horizontal e suportes de antena adicionais)</t>
        </is>
      </c>
      <c r="D45" s="107" t="inlineStr">
        <is>
          <t>kg</t>
        </is>
      </c>
      <c r="E45" s="108" t="n">
        <v>17</v>
      </c>
      <c r="F45" s="109" t="n">
        <v>79.76000000000001</v>
      </c>
      <c r="G45" s="109" t="n">
        <v>90</v>
      </c>
      <c r="H45" s="109" t="n">
        <v>34</v>
      </c>
      <c r="I45" s="109" t="n">
        <v>95</v>
      </c>
      <c r="J45" s="109" t="n">
        <v>20.78</v>
      </c>
      <c r="K45" s="110" t="n">
        <v>2.79</v>
      </c>
    </row>
    <row r="46">
      <c r="A46" s="103" t="inlineStr">
        <is>
          <t>Itens complementares</t>
        </is>
      </c>
      <c r="B46" s="103" t="inlineStr">
        <is>
          <t>COM03</t>
        </is>
      </c>
      <c r="C46" s="103" t="inlineStr">
        <is>
          <t>Segunda Mobilização (acima de 500Km da sede da companhia)</t>
        </is>
      </c>
      <c r="D46" s="103" t="inlineStr">
        <is>
          <t>un</t>
        </is>
      </c>
      <c r="E46" s="104" t="n">
        <v>4</v>
      </c>
      <c r="F46" s="105" t="n">
        <v>3500</v>
      </c>
      <c r="G46" s="105" t="n">
        <v>3500</v>
      </c>
      <c r="H46" s="105" t="n">
        <v>3500</v>
      </c>
      <c r="I46" s="105" t="n">
        <v>3500</v>
      </c>
      <c r="J46" s="105" t="n">
        <v>0</v>
      </c>
      <c r="K46" s="106" t="n">
        <v>1</v>
      </c>
    </row>
    <row r="47">
      <c r="A47" s="107" t="inlineStr">
        <is>
          <t>Itens complementares</t>
        </is>
      </c>
      <c r="B47" s="107" t="inlineStr">
        <is>
          <t>COM04</t>
        </is>
      </c>
      <c r="C47" s="107" t="inlineStr">
        <is>
          <t>Supressão de Vegetação existente (Limpeza de mato rasteiro, entulho e objetos existentes no site)</t>
        </is>
      </c>
      <c r="D47" s="107" t="inlineStr">
        <is>
          <t>un</t>
        </is>
      </c>
      <c r="E47" s="108" t="n">
        <v>1</v>
      </c>
      <c r="F47" s="109" t="n">
        <v>1200</v>
      </c>
      <c r="G47" s="109" t="n">
        <v>1200</v>
      </c>
      <c r="H47" s="109" t="n">
        <v>1200</v>
      </c>
      <c r="I47" s="109" t="n">
        <v>1200</v>
      </c>
      <c r="J47" s="109" t="n">
        <v>0</v>
      </c>
      <c r="K47" s="110" t="n">
        <v>1</v>
      </c>
    </row>
    <row r="48">
      <c r="A48" s="103" t="inlineStr">
        <is>
          <t>Itens complementares</t>
        </is>
      </c>
      <c r="B48" s="103" t="inlineStr">
        <is>
          <t>COM10</t>
        </is>
      </c>
      <c r="C48" s="103" t="inlineStr">
        <is>
          <t>Logistica de Obra (Transporte dos materiais de obra)</t>
        </is>
      </c>
      <c r="D48" s="103" t="inlineStr">
        <is>
          <t>Vb</t>
        </is>
      </c>
      <c r="E48" s="104" t="n">
        <v>36</v>
      </c>
      <c r="F48" s="105" t="n">
        <v>4485.42</v>
      </c>
      <c r="G48" s="105" t="n">
        <v>4500</v>
      </c>
      <c r="H48" s="105" t="n">
        <v>3000</v>
      </c>
      <c r="I48" s="105" t="n">
        <v>7000</v>
      </c>
      <c r="J48" s="105" t="n">
        <v>729.16</v>
      </c>
      <c r="K48" s="106" t="n">
        <v>2.33</v>
      </c>
    </row>
    <row r="49">
      <c r="A49" s="107" t="inlineStr">
        <is>
          <t>Acessórios EV</t>
        </is>
      </c>
      <c r="B49" s="107" t="inlineStr">
        <is>
          <t>AEV06</t>
        </is>
      </c>
      <c r="C49" s="107" t="inlineStr">
        <is>
          <t>Suporte MW Face Adicional 1,2</t>
        </is>
      </c>
      <c r="D49" s="107" t="inlineStr">
        <is>
          <t>un</t>
        </is>
      </c>
      <c r="E49" s="108" t="n">
        <v>1</v>
      </c>
      <c r="F49" s="109" t="n">
        <v>5500</v>
      </c>
      <c r="G49" s="109" t="n">
        <v>5500</v>
      </c>
      <c r="H49" s="109" t="n">
        <v>5500</v>
      </c>
      <c r="I49" s="109" t="n">
        <v>5500</v>
      </c>
      <c r="J49" s="109" t="n">
        <v>0</v>
      </c>
      <c r="K49" s="110" t="n">
        <v>1</v>
      </c>
    </row>
    <row r="50">
      <c r="A50" s="103" t="inlineStr">
        <is>
          <t>Acessórios EV</t>
        </is>
      </c>
      <c r="B50" s="103" t="inlineStr">
        <is>
          <t>AEV07</t>
        </is>
      </c>
      <c r="C50" s="103" t="inlineStr">
        <is>
          <t>Suporte de RF</t>
        </is>
      </c>
      <c r="D50" s="103" t="inlineStr">
        <is>
          <t>un</t>
        </is>
      </c>
      <c r="E50" s="104" t="n">
        <v>35</v>
      </c>
      <c r="F50" s="105" t="n">
        <v>3895.81</v>
      </c>
      <c r="G50" s="105" t="n">
        <v>4500</v>
      </c>
      <c r="H50" s="105" t="n">
        <v>2200</v>
      </c>
      <c r="I50" s="105" t="n">
        <v>4900</v>
      </c>
      <c r="J50" s="105" t="n">
        <v>767.6799999999999</v>
      </c>
      <c r="K50" s="106" t="n">
        <v>2.23</v>
      </c>
    </row>
    <row r="51">
      <c r="A51" s="107" t="inlineStr">
        <is>
          <t>Acessórios EV</t>
        </is>
      </c>
      <c r="B51" s="107" t="inlineStr">
        <is>
          <t>AEV09</t>
        </is>
      </c>
      <c r="C51" s="107" t="inlineStr">
        <is>
          <t>Esteiramento Aéreo</t>
        </is>
      </c>
      <c r="D51" s="107" t="inlineStr">
        <is>
          <t>m</t>
        </is>
      </c>
      <c r="E51" s="108" t="n">
        <v>34</v>
      </c>
      <c r="F51" s="109" t="n">
        <v>488.09</v>
      </c>
      <c r="G51" s="109" t="n">
        <v>450</v>
      </c>
      <c r="H51" s="109" t="n">
        <v>430</v>
      </c>
      <c r="I51" s="109" t="n">
        <v>650</v>
      </c>
      <c r="J51" s="109" t="n">
        <v>70.51000000000001</v>
      </c>
      <c r="K51" s="110" t="n">
        <v>1.51</v>
      </c>
    </row>
    <row r="52">
      <c r="A52" s="103" t="inlineStr">
        <is>
          <t>Montagem</t>
        </is>
      </c>
      <c r="B52" s="103" t="inlineStr">
        <is>
          <t>MON07</t>
        </is>
      </c>
      <c r="C52" s="103" t="inlineStr">
        <is>
          <t>Montagem de Poste Autoportante 30m</t>
        </is>
      </c>
      <c r="D52" s="103" t="inlineStr">
        <is>
          <t>Vb</t>
        </is>
      </c>
      <c r="E52" s="104" t="n">
        <v>1</v>
      </c>
      <c r="F52" s="105" t="n">
        <v>11655</v>
      </c>
      <c r="G52" s="105" t="n">
        <v>11655</v>
      </c>
      <c r="H52" s="105" t="n">
        <v>11655</v>
      </c>
      <c r="I52" s="105" t="n">
        <v>11655</v>
      </c>
      <c r="J52" s="105" t="n">
        <v>0</v>
      </c>
      <c r="K52" s="106" t="n">
        <v>1</v>
      </c>
    </row>
    <row r="53">
      <c r="A53" s="107" t="inlineStr">
        <is>
          <t>Roof Top</t>
        </is>
      </c>
      <c r="B53" s="107" t="inlineStr">
        <is>
          <t>RFT04</t>
        </is>
      </c>
      <c r="C53" s="107" t="inlineStr">
        <is>
          <t xml:space="preserve">Conector FCI Barra - Para esteira </t>
        </is>
      </c>
      <c r="D53" s="107" t="inlineStr">
        <is>
          <t>un</t>
        </is>
      </c>
      <c r="E53" s="108" t="n">
        <v>1</v>
      </c>
      <c r="F53" s="109" t="n">
        <v>178.2</v>
      </c>
      <c r="G53" s="109" t="n">
        <v>178.2</v>
      </c>
      <c r="H53" s="109" t="n">
        <v>178.2</v>
      </c>
      <c r="I53" s="109" t="n">
        <v>178.2</v>
      </c>
      <c r="J53" s="109" t="n">
        <v>0</v>
      </c>
      <c r="K53" s="110" t="n">
        <v>1</v>
      </c>
    </row>
    <row r="54">
      <c r="A54" s="103" t="inlineStr">
        <is>
          <t>Roof Top</t>
        </is>
      </c>
      <c r="B54" s="103" t="inlineStr">
        <is>
          <t>RFT05</t>
        </is>
      </c>
      <c r="C54" s="103" t="inlineStr">
        <is>
          <t>Conector FCI Torre</t>
        </is>
      </c>
      <c r="D54" s="103" t="inlineStr">
        <is>
          <t>un</t>
        </is>
      </c>
      <c r="E54" s="104" t="n">
        <v>1</v>
      </c>
      <c r="F54" s="105" t="n">
        <v>230</v>
      </c>
      <c r="G54" s="105" t="n">
        <v>230</v>
      </c>
      <c r="H54" s="105" t="n">
        <v>230</v>
      </c>
      <c r="I54" s="105" t="n">
        <v>230</v>
      </c>
      <c r="J54" s="105" t="n">
        <v>0</v>
      </c>
      <c r="K54" s="106" t="n">
        <v>1</v>
      </c>
    </row>
    <row r="55">
      <c r="A55" s="107" t="inlineStr">
        <is>
          <t>Roof Top</t>
        </is>
      </c>
      <c r="B55" s="107" t="inlineStr">
        <is>
          <t>RFT07</t>
        </is>
      </c>
      <c r="C55" s="107" t="inlineStr">
        <is>
          <t>Luminária com poste</t>
        </is>
      </c>
      <c r="D55" s="107" t="inlineStr">
        <is>
          <t>un</t>
        </is>
      </c>
      <c r="E55" s="108" t="n">
        <v>1</v>
      </c>
      <c r="F55" s="109" t="n">
        <v>3764.21</v>
      </c>
      <c r="G55" s="109" t="n">
        <v>3764.21</v>
      </c>
      <c r="H55" s="109" t="n">
        <v>3764.21</v>
      </c>
      <c r="I55" s="109" t="n">
        <v>3764.21</v>
      </c>
      <c r="J55" s="109" t="n">
        <v>0</v>
      </c>
      <c r="K55" s="110" t="n">
        <v>1</v>
      </c>
    </row>
    <row r="56">
      <c r="A56" s="103" t="inlineStr">
        <is>
          <t>Roof Top</t>
        </is>
      </c>
      <c r="B56" s="103" t="inlineStr">
        <is>
          <t>RFT08</t>
        </is>
      </c>
      <c r="C56" s="103" t="inlineStr">
        <is>
          <t>Acessórios metálicos (mastro, costela de vaca, esteira horizontal, suportes de antena adicionais, escada marinheiro e guarda-corpo)</t>
        </is>
      </c>
      <c r="D56" s="103" t="inlineStr">
        <is>
          <t>Kg</t>
        </is>
      </c>
      <c r="E56" s="104" t="n">
        <v>2</v>
      </c>
      <c r="F56" s="105" t="n">
        <v>54.25</v>
      </c>
      <c r="G56" s="105" t="n">
        <v>54.25</v>
      </c>
      <c r="H56" s="105" t="n">
        <v>53.5</v>
      </c>
      <c r="I56" s="105" t="n">
        <v>55</v>
      </c>
      <c r="J56" s="105" t="n">
        <v>0.75</v>
      </c>
      <c r="K56" s="106" t="n">
        <v>1.03</v>
      </c>
    </row>
    <row r="57">
      <c r="A57" s="107" t="inlineStr">
        <is>
          <t>Roof Top</t>
        </is>
      </c>
      <c r="B57" s="107" t="inlineStr">
        <is>
          <t>RFT09</t>
        </is>
      </c>
      <c r="C57" s="107" t="inlineStr">
        <is>
          <t>Bloco de concreto</t>
        </is>
      </c>
      <c r="D57" s="107" t="inlineStr">
        <is>
          <t>un</t>
        </is>
      </c>
      <c r="E57" s="108" t="n">
        <v>2</v>
      </c>
      <c r="F57" s="109" t="n">
        <v>330</v>
      </c>
      <c r="G57" s="109" t="n">
        <v>330</v>
      </c>
      <c r="H57" s="109" t="n">
        <v>310</v>
      </c>
      <c r="I57" s="109" t="n">
        <v>350</v>
      </c>
      <c r="J57" s="109" t="n">
        <v>20</v>
      </c>
      <c r="K57" s="110" t="n">
        <v>1.13</v>
      </c>
    </row>
    <row r="58">
      <c r="A58" s="103" t="inlineStr">
        <is>
          <t>Roof Top</t>
        </is>
      </c>
      <c r="B58" s="103" t="inlineStr">
        <is>
          <t>RFT12</t>
        </is>
      </c>
      <c r="C58" s="103" t="inlineStr">
        <is>
          <t>Tubulação 2" Galvanizada à fogo</t>
        </is>
      </c>
      <c r="D58" s="103" t="inlineStr">
        <is>
          <t>m</t>
        </is>
      </c>
      <c r="E58" s="104" t="n">
        <v>1</v>
      </c>
      <c r="F58" s="105" t="n">
        <v>73</v>
      </c>
      <c r="G58" s="105" t="n">
        <v>73</v>
      </c>
      <c r="H58" s="105" t="n">
        <v>73</v>
      </c>
      <c r="I58" s="105" t="n">
        <v>73</v>
      </c>
      <c r="J58" s="105" t="n">
        <v>0</v>
      </c>
      <c r="K58" s="106" t="n">
        <v>1</v>
      </c>
    </row>
    <row r="59">
      <c r="A59" s="107" t="inlineStr">
        <is>
          <t>Roof Top</t>
        </is>
      </c>
      <c r="B59" s="107" t="inlineStr">
        <is>
          <t>RFT19</t>
        </is>
      </c>
      <c r="C59" s="107" t="inlineStr">
        <is>
          <t>Cabo flexível #35mm² isol. 750V - qualquer cor</t>
        </is>
      </c>
      <c r="D59" s="107" t="inlineStr">
        <is>
          <t>m</t>
        </is>
      </c>
      <c r="E59" s="108" t="n">
        <v>1</v>
      </c>
      <c r="F59" s="109" t="n">
        <v>52</v>
      </c>
      <c r="G59" s="109" t="n">
        <v>52</v>
      </c>
      <c r="H59" s="109" t="n">
        <v>52</v>
      </c>
      <c r="I59" s="109" t="n">
        <v>52</v>
      </c>
      <c r="J59" s="109" t="n">
        <v>0</v>
      </c>
      <c r="K59" s="110" t="n">
        <v>1</v>
      </c>
    </row>
    <row r="60">
      <c r="A60" s="103" t="inlineStr">
        <is>
          <t>Roof Top</t>
        </is>
      </c>
      <c r="B60" s="103" t="inlineStr">
        <is>
          <t>RFT20</t>
        </is>
      </c>
      <c r="C60" s="103" t="inlineStr">
        <is>
          <t>Cabo flexível #50mm² isol. 750V - qualquer cor</t>
        </is>
      </c>
      <c r="D60" s="103" t="inlineStr">
        <is>
          <t>m</t>
        </is>
      </c>
      <c r="E60" s="104" t="n">
        <v>1</v>
      </c>
      <c r="F60" s="105" t="n">
        <v>70</v>
      </c>
      <c r="G60" s="105" t="n">
        <v>70</v>
      </c>
      <c r="H60" s="105" t="n">
        <v>70</v>
      </c>
      <c r="I60" s="105" t="n">
        <v>70</v>
      </c>
      <c r="J60" s="105" t="n">
        <v>0</v>
      </c>
      <c r="K60" s="106" t="n">
        <v>1</v>
      </c>
    </row>
    <row r="61">
      <c r="A61" s="107" t="inlineStr">
        <is>
          <t>Roof Top</t>
        </is>
      </c>
      <c r="B61" s="107" t="inlineStr">
        <is>
          <t>RFT22</t>
        </is>
      </c>
      <c r="C61" s="107" t="inlineStr">
        <is>
          <t xml:space="preserve">Cabo flexível #16mm² isol.  0,6/1,0Kv </t>
        </is>
      </c>
      <c r="D61" s="107" t="inlineStr">
        <is>
          <t>m</t>
        </is>
      </c>
      <c r="E61" s="108" t="n">
        <v>1</v>
      </c>
      <c r="F61" s="109" t="n">
        <v>34</v>
      </c>
      <c r="G61" s="109" t="n">
        <v>34</v>
      </c>
      <c r="H61" s="109" t="n">
        <v>34</v>
      </c>
      <c r="I61" s="109" t="n">
        <v>34</v>
      </c>
      <c r="J61" s="109" t="n">
        <v>0</v>
      </c>
      <c r="K61" s="110" t="n">
        <v>1</v>
      </c>
    </row>
    <row r="62">
      <c r="A62" s="103" t="inlineStr">
        <is>
          <t>Roof Top</t>
        </is>
      </c>
      <c r="B62" s="103" t="inlineStr">
        <is>
          <t>RFT23</t>
        </is>
      </c>
      <c r="C62" s="103" t="inlineStr">
        <is>
          <t>Caixa de alumínio</t>
        </is>
      </c>
      <c r="D62" s="103" t="inlineStr">
        <is>
          <t>un</t>
        </is>
      </c>
      <c r="E62" s="104" t="n">
        <v>1</v>
      </c>
      <c r="F62" s="105" t="n">
        <v>867</v>
      </c>
      <c r="G62" s="105" t="n">
        <v>867</v>
      </c>
      <c r="H62" s="105" t="n">
        <v>867</v>
      </c>
      <c r="I62" s="105" t="n">
        <v>867</v>
      </c>
      <c r="J62" s="105" t="n">
        <v>0</v>
      </c>
      <c r="K62" s="106" t="n">
        <v>1</v>
      </c>
    </row>
    <row r="63">
      <c r="A63" s="107" t="inlineStr">
        <is>
          <t>Roof Top</t>
        </is>
      </c>
      <c r="B63" s="107" t="inlineStr">
        <is>
          <t>RFT25</t>
        </is>
      </c>
      <c r="C63" s="107" t="inlineStr">
        <is>
          <t>Malha de aterramento Roof Top</t>
        </is>
      </c>
      <c r="D63" s="107" t="inlineStr">
        <is>
          <t>m</t>
        </is>
      </c>
      <c r="E63" s="108" t="n">
        <v>1</v>
      </c>
      <c r="F63" s="109" t="n">
        <v>190</v>
      </c>
      <c r="G63" s="109" t="n">
        <v>190</v>
      </c>
      <c r="H63" s="109" t="n">
        <v>190</v>
      </c>
      <c r="I63" s="109" t="n">
        <v>190</v>
      </c>
      <c r="J63" s="109" t="n">
        <v>0</v>
      </c>
      <c r="K63" s="1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62" customWidth="1" min="3" max="3"/>
  </cols>
  <sheetData>
    <row r="1">
      <c r="A1" s="111" t="inlineStr">
        <is>
          <t>#</t>
        </is>
      </c>
      <c r="B1" s="111" t="inlineStr">
        <is>
          <t>Arquivo de PV</t>
        </is>
      </c>
      <c r="C1" s="111" t="inlineStr">
        <is>
          <t>Pasta</t>
        </is>
      </c>
    </row>
    <row r="2">
      <c r="A2" s="103" t="n">
        <v>1</v>
      </c>
      <c r="B2" s="103" t="inlineStr">
        <is>
          <t>PV - MANAUS - AM4MNS018_AMMNSZ2_VIVO - COLLO_22032026.xlsm</t>
        </is>
      </c>
      <c r="C2" s="103" t="inlineStr">
        <is>
          <t>AM/MANAUS/AM4MNS018_AMMNSZ2_VIVO</t>
        </is>
      </c>
    </row>
    <row r="3">
      <c r="A3" s="107" t="n">
        <v>2</v>
      </c>
      <c r="B3" s="107" t="inlineStr">
        <is>
          <t>PV - AMMNS010 (Highline) - AMCRG (VIVO) - COLLO_23122025.xlsm</t>
        </is>
      </c>
      <c r="C3" s="107" t="inlineStr">
        <is>
          <t>AM/MANAUS/AMMNS010 (Highline) - AMCRG (VIVO)</t>
        </is>
      </c>
    </row>
    <row r="4">
      <c r="A4" s="103" t="n">
        <v>3</v>
      </c>
      <c r="B4" s="103" t="inlineStr">
        <is>
          <t>PV - BABON66 - COLLO-RT.xlsm</t>
        </is>
      </c>
      <c r="C4" s="103" t="inlineStr">
        <is>
          <t>BA/BABON66/1. Proposta_Orçamento</t>
        </is>
      </c>
    </row>
    <row r="5">
      <c r="A5" s="107" t="n">
        <v>4</v>
      </c>
      <c r="B5" s="107" t="inlineStr">
        <is>
          <t>PV - CEP-MUE-008 (Highline) - CEMUE14 (CLARO)_REV00.xlsm</t>
        </is>
      </c>
      <c r="C5" s="107" t="inlineStr">
        <is>
          <t>CE/CEMUE14</t>
        </is>
      </c>
    </row>
    <row r="6">
      <c r="A6" s="103" t="n">
        <v>5</v>
      </c>
      <c r="B6" s="103" t="inlineStr">
        <is>
          <t>PV - CEP-GBA-002 (Highline) - CEGBA03 (CLARO)_REV01.xlsm</t>
        </is>
      </c>
      <c r="C6" s="103" t="inlineStr">
        <is>
          <t>CE/CEP-GBA-002 (Highline) - CEGBA03 (CLARO)/1. Proposta_Orçamento</t>
        </is>
      </c>
    </row>
    <row r="7">
      <c r="A7" s="107" t="n">
        <v>6</v>
      </c>
      <c r="B7" s="107" t="inlineStr">
        <is>
          <t>PV_CEARÁ_TIM_COLLO -  CEP-MUE-008 (Highline) - SR-MUMUJ1 (TIM)_08072026.xlsx</t>
        </is>
      </c>
      <c r="C7" s="107" t="inlineStr">
        <is>
          <t>CE/CEP-MUE-008 (Highline) - SR-MUMUJ1 (TIM)</t>
        </is>
      </c>
    </row>
    <row r="8">
      <c r="A8" s="103" t="n">
        <v>7</v>
      </c>
      <c r="B8" s="103" t="inlineStr">
        <is>
          <t>PV - DFBRS216 (HIGHLINE) - DFNAD (VIVO).xlsm</t>
        </is>
      </c>
      <c r="C8" s="103" t="inlineStr">
        <is>
          <t>DF/CEILÂNDIA</t>
        </is>
      </c>
    </row>
    <row r="9">
      <c r="A9" s="107" t="n">
        <v>8</v>
      </c>
      <c r="B9" s="107" t="inlineStr">
        <is>
          <t>PV - AMARANTE DO MARANHÃO - MAMRN003 (Highline) - MAATH08 (CLARO) - COLLO_01062026.xlsm</t>
        </is>
      </c>
      <c r="C9" s="107" t="inlineStr">
        <is>
          <t>MA/AMARANTE DO MARANHÃO</t>
        </is>
      </c>
    </row>
    <row r="10">
      <c r="A10" s="103" t="n">
        <v>9</v>
      </c>
      <c r="B10" s="103" t="inlineStr">
        <is>
          <t>PV - BACABAL - MABCB001_MABBL16_CLARO - COLLO_22032026.xlsm</t>
        </is>
      </c>
      <c r="C10" s="103" t="inlineStr">
        <is>
          <t>MA/BACABAL/MABCB001_MABBL16</t>
        </is>
      </c>
    </row>
    <row r="11">
      <c r="A11" s="107" t="n">
        <v>10</v>
      </c>
      <c r="B11" s="107" t="inlineStr">
        <is>
          <t>PV - MAVTX006 (HIGHLINE) - MAVMS (VIVO).xlsm</t>
        </is>
      </c>
      <c r="C11" s="107" t="inlineStr">
        <is>
          <t>MA/VITÓRIA DO MEARIM</t>
        </is>
      </c>
    </row>
    <row r="12">
      <c r="A12" s="103" t="n">
        <v>11</v>
      </c>
      <c r="B12" s="103" t="inlineStr">
        <is>
          <t>PV_ALTAMIRA_VIVO_COLLO - PA4-ALA-001_PASSE_10042025_REV00.xlsm</t>
        </is>
      </c>
      <c r="C12" s="103" t="inlineStr">
        <is>
          <t>PA/ALTAMIRA</t>
        </is>
      </c>
    </row>
    <row r="13">
      <c r="A13" s="107" t="n">
        <v>12</v>
      </c>
      <c r="B13" s="107" t="inlineStr">
        <is>
          <t>PV_BELÉM_VIVO_COLLO - PAICO2234_PAARP_10042025_REV00.xlsm</t>
        </is>
      </c>
      <c r="C13" s="107" t="inlineStr">
        <is>
          <t>PA/BELÉM/PAICO2234 - PAARP (VIVO)/1. Proposta Orçamento</t>
        </is>
      </c>
    </row>
    <row r="14">
      <c r="A14" s="103" t="n">
        <v>13</v>
      </c>
      <c r="B14" s="103" t="inlineStr">
        <is>
          <t>PV_BRAGANÇA_TIM_COLLO - PAP-BGN-001_SN-BRAGA9_27042026.xlsx</t>
        </is>
      </c>
      <c r="C14" s="103" t="inlineStr">
        <is>
          <t>PA/BRAGANÇA/PAP-BGN-001  -  SN-BRAGA9/1. Proposta Orçamento</t>
        </is>
      </c>
    </row>
    <row r="15">
      <c r="A15" s="107" t="n">
        <v>14</v>
      </c>
      <c r="B15" s="107" t="inlineStr">
        <is>
          <t>PV - PACCH004 (Highline) - PACHI05 (CLARO) - COLLO_27052026.xlsm</t>
        </is>
      </c>
      <c r="C15" s="107" t="inlineStr">
        <is>
          <t>PA/CACHOEIRA DO PIRIÁ/PACCH004  -  PACHI05/1. Proposta Orçamento</t>
        </is>
      </c>
    </row>
    <row r="16">
      <c r="A16" s="103" t="n">
        <v>15</v>
      </c>
      <c r="B16" s="103" t="inlineStr">
        <is>
          <t>PV_COLLO_PAP-CKJ-002 (HIGHLINE)_SN-CKJSK3 (TIM)_CANAÃ DOS CARAJÁS-PA_07082026.xlsx</t>
        </is>
      </c>
      <c r="C16" s="103" t="inlineStr">
        <is>
          <t>PA/CANAÃ DOS CARAJÁS/PAP-CKJ-002 - SN-CKJSK3 (TIM)/1. Proposta Orçamento</t>
        </is>
      </c>
    </row>
    <row r="17">
      <c r="A17" s="107" t="n">
        <v>16</v>
      </c>
      <c r="B17" s="107" t="inlineStr">
        <is>
          <t>PV - PAMRB008 (HIGHLINE) - PAMBA48 (CLARO) - COLLO_21072026.xlsm</t>
        </is>
      </c>
      <c r="C17" s="107" t="inlineStr">
        <is>
          <t>PA/MARABÁ/PAMRB008 - PAMBA48/1. Proposta Orçamento</t>
        </is>
      </c>
    </row>
    <row r="18">
      <c r="A18" s="103" t="n">
        <v>17</v>
      </c>
      <c r="B18" s="103" t="inlineStr">
        <is>
          <t>PV - PAP-MRA-002 (Highline) - SN-MRBAR5 (TIM)  - COLLO_27042026.xlsm</t>
        </is>
      </c>
      <c r="C18" s="103" t="inlineStr">
        <is>
          <t>PA/MARABÁ/PAP-MRA-002  -  SN-MRBAR5/1. Proposta Orçamento</t>
        </is>
      </c>
    </row>
    <row r="19">
      <c r="A19" s="107" t="n">
        <v>18</v>
      </c>
      <c r="B19" s="107" t="inlineStr">
        <is>
          <t>PV - PACAJÁ - PAPCJ001_PAPCJ06_CLARO - COLLO_08032026.xlsm</t>
        </is>
      </c>
      <c r="C19" s="107" t="inlineStr">
        <is>
          <t>PA/PACAJÁ/PAPCJ001/1. Proposta Orçamento</t>
        </is>
      </c>
    </row>
    <row r="20">
      <c r="A20" s="103" t="n">
        <v>19</v>
      </c>
      <c r="B20" s="103" t="inlineStr">
        <is>
          <t>PV - PA4-PRS-004 (Highline) - SN-PAURR1 (TIM) - COLLO_27042026.xlsm</t>
        </is>
      </c>
      <c r="C20" s="103" t="inlineStr">
        <is>
          <t>PA/PARAUAPEBAS/PA4-PRS-004  -  SN-PAURR1/1. Proposta Orçamento</t>
        </is>
      </c>
    </row>
    <row r="21">
      <c r="A21" s="107" t="n">
        <v>20</v>
      </c>
      <c r="B21" s="107" t="inlineStr">
        <is>
          <t>PV - PA4-PRS-007 (Highline) - SN-PAURS1 (TIM) - COLLO_25052026.xlsm</t>
        </is>
      </c>
      <c r="C21" s="107" t="inlineStr">
        <is>
          <t>PA/PARAUAPEBAS/PA4-PRS-007  -  SN-PAURS1/1. Proposta Orçamento</t>
        </is>
      </c>
    </row>
    <row r="22">
      <c r="A22" s="103" t="n">
        <v>21</v>
      </c>
      <c r="B22" s="103" t="inlineStr">
        <is>
          <t>PV - PA4-PRS-008 (Highline) - SN-PAURR3 (TIM) - COLLO_(definir data).xlsm</t>
        </is>
      </c>
      <c r="C22" s="103" t="inlineStr">
        <is>
          <t>PA/PARAUAPEBAS/PA4-PRS-008  -  SN-PAURR3/1. Proposta Orçamento</t>
        </is>
      </c>
    </row>
    <row r="23">
      <c r="A23" s="107" t="n">
        <v>22</v>
      </c>
      <c r="B23" s="107" t="inlineStr">
        <is>
          <t>PV - PARAUAPEBAS - PAP-PRS-009_PAPRD_VIVO - COLLO_25032026_REV01.xlsm</t>
        </is>
      </c>
      <c r="C23" s="107" t="inlineStr">
        <is>
          <t>PA/PARAUAPEBAS/PAP-PRS-009  -  PAPRD/1. Proposta Orçamento</t>
        </is>
      </c>
    </row>
    <row r="24">
      <c r="A24" s="103" t="n">
        <v>23</v>
      </c>
      <c r="B24" s="103" t="inlineStr">
        <is>
          <t>PV - PANDR002 (Highline) - PASGU06 (CLARO)_REV_001_09062026.xlsm</t>
        </is>
      </c>
      <c r="C24" s="103" t="inlineStr">
        <is>
          <t>PA/SANTANA DO ARAGUAIA/PANDR002 - PASGU06 (CLARO)/1. Proposta Orçamento</t>
        </is>
      </c>
    </row>
    <row r="25">
      <c r="A25" s="107" t="n">
        <v>24</v>
      </c>
      <c r="B25" s="107" t="inlineStr">
        <is>
          <t>PV_SANTAREM_TIM_COLLO - PAP-SRM-003_SN-STRMG5 - 06072026.xlsx</t>
        </is>
      </c>
      <c r="C25" s="107" t="inlineStr">
        <is>
          <t>PA/SANTARÉM/PAP-SRM-003 (HL) - SN-STRMG5 (TIM)/1. Proposta Orçamento</t>
        </is>
      </c>
    </row>
    <row r="26">
      <c r="A26" s="103" t="n">
        <v>25</v>
      </c>
      <c r="B26" s="103" t="inlineStr">
        <is>
          <t>PV - PAP-SRM-005_SN_STRMF7 - COLLO_09122025.xlsm</t>
        </is>
      </c>
      <c r="C26" s="103" t="inlineStr">
        <is>
          <t>PA/SANTARÉM/PAP-SRM-005_SN_STRMF7</t>
        </is>
      </c>
    </row>
    <row r="27">
      <c r="A27" s="107" t="n">
        <v>26</v>
      </c>
      <c r="B27" s="107" t="inlineStr">
        <is>
          <t>PV_SANTARÉM_TIM_COLLO - PAP-SRM-006 (Highline) - SN-STRMR9 (TIM).xlsx</t>
        </is>
      </c>
      <c r="C27" s="107" t="inlineStr">
        <is>
          <t>PA/SANTARÉM/PAP-SRM-006 (Highline) - SN-STRMR9 (TIM)</t>
        </is>
      </c>
    </row>
    <row r="28">
      <c r="A28" s="103" t="n">
        <v>27</v>
      </c>
      <c r="B28" s="103" t="inlineStr">
        <is>
          <t>PV - PE4-SDM-002 (HIGHLINE) - SR-SMSMA6 (TIM) - COLLO_28072026.xlsm</t>
        </is>
      </c>
      <c r="C28" s="103" t="inlineStr">
        <is>
          <t>PE/PE4-SDM-002 - SR-SMSMA6 (TIM)/1. Proposta Orçamento</t>
        </is>
      </c>
    </row>
    <row r="29">
      <c r="A29" s="107" t="n">
        <v>28</v>
      </c>
      <c r="B29" s="107" t="inlineStr">
        <is>
          <t>PV_PERNAMBUCCO_TIM_COLLO -  PERCF042 (Highline) - SR-RCTAJ2 (TIM)_08072026.xlsx</t>
        </is>
      </c>
      <c r="C29" s="107" t="inlineStr">
        <is>
          <t>PE/PERCF042 (Highline) - SR-RCTAJ2 (TIM)</t>
        </is>
      </c>
    </row>
    <row r="30">
      <c r="A30" s="103" t="n">
        <v>29</v>
      </c>
      <c r="B30" s="103" t="inlineStr">
        <is>
          <t>PV_PESTA3002 (HIGHLINE)_SR-RCSAJ4 (TIM)_RECIFE-PE_10082026.xlsx</t>
        </is>
      </c>
      <c r="C30" s="103" t="inlineStr">
        <is>
          <t>PE/PESTA3002 - SR-RCSAJ4 (TIM)/1. Proposta Orçamento</t>
        </is>
      </c>
    </row>
    <row r="31">
      <c r="A31" s="107" t="n">
        <v>30</v>
      </c>
      <c r="B31" s="107" t="inlineStr">
        <is>
          <t>PV_TERESINA_VIVO_COLLO - PIP-TSA-001_SR-TSVGJ2_10042025_REV00.xlsm</t>
        </is>
      </c>
      <c r="C31" s="107" t="inlineStr">
        <is>
          <t>PI/PIP-TSA-001_SR-TSVGJ2</t>
        </is>
      </c>
    </row>
    <row r="32">
      <c r="A32" s="103" t="n">
        <v>31</v>
      </c>
      <c r="B32" s="103" t="inlineStr">
        <is>
          <t>PV_PIAUÍ_TIM_COLLO - PITRS011_SN-TSSTK2_07072026.xlsx</t>
        </is>
      </c>
      <c r="C32" s="103" t="inlineStr">
        <is>
          <t>PI/PITRS011_SR-TSSTK2</t>
        </is>
      </c>
    </row>
    <row r="33">
      <c r="A33" s="107" t="n">
        <v>32</v>
      </c>
      <c r="B33" s="107" t="inlineStr">
        <is>
          <t>PV - RNNTL027_RNNTL027 - COLLO_02122025.xlsm</t>
        </is>
      </c>
      <c r="C33" s="107" t="inlineStr">
        <is>
          <t>RN</t>
        </is>
      </c>
    </row>
    <row r="34">
      <c r="A34" s="103" t="n">
        <v>33</v>
      </c>
      <c r="B34" s="103" t="inlineStr">
        <is>
          <t>PV - RNP-NTL-011 - SR-NTPJJ6  - COLLO_20052026.xlsm</t>
        </is>
      </c>
      <c r="C34" s="103" t="inlineStr">
        <is>
          <t>RN/RNP-NTL-011 - SR-NTPJJ6/1. Proposta Orçamento</t>
        </is>
      </c>
    </row>
    <row r="35">
      <c r="A35" s="107" t="n">
        <v>34</v>
      </c>
      <c r="B35" s="107" t="inlineStr">
        <is>
          <t>PV - RNP-NTL-015 - SR-NTDXJ6  - COLLO_20052026.xlsm</t>
        </is>
      </c>
      <c r="C35" s="107" t="inlineStr">
        <is>
          <t>RN/RNP-NTL-015 - SR-NTDXJ6/1. Proposta Orçamento</t>
        </is>
      </c>
    </row>
    <row r="36">
      <c r="A36" s="103" t="n">
        <v>35</v>
      </c>
      <c r="B36" s="103" t="inlineStr">
        <is>
          <t>PV_ARAMINA_TIM_COLLO - SP4-ARA-001_AMX_01072026.xlsx</t>
        </is>
      </c>
      <c r="C36" s="103" t="inlineStr">
        <is>
          <t>SP/SP4-ARA-001 (HL) - AMX (ALGAR)/1. Proposta Orçamento</t>
        </is>
      </c>
    </row>
    <row r="37">
      <c r="A37" s="107" t="n">
        <v>36</v>
      </c>
      <c r="B37" s="107" t="inlineStr">
        <is>
          <t>PV - SPP-SPO-216 (HIGHLINE) - SPLJD (VIVO) - COLLO_21072026.xlsm</t>
        </is>
      </c>
      <c r="C37" s="107" t="inlineStr">
        <is>
          <t>SP/SPP-SPO-216 (HL) - SPLJ (VIVO)/1. Proposta Orçamento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Santos</dc:creator>
  <dcterms:created xmlns:dcterms="http://purl.org/dc/terms/" xmlns:xsi="http://www.w3.org/2001/XMLSchema-instance" xsi:type="dcterms:W3CDTF">2016-04-04T15:49:19Z</dcterms:created>
  <dcterms:modified xmlns:dcterms="http://purl.org/dc/terms/" xmlns:xsi="http://www.w3.org/2001/XMLSchema-instance" xsi:type="dcterms:W3CDTF">2026-09-06T21:26:09Z</dcterms:modified>
  <cp:lastModifiedBy>Victor Hugo LS OFFICE</cp:lastModifiedBy>
  <cp:lastPrinted>2023-08-01T21:50:12Z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0x010100537D36244554734C906CE4E643B4D156</vt:lpwstr>
  </property>
</Properties>
</file>